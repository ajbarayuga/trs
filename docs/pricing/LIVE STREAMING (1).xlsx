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Emory Prices, Clean" sheetId="1" r:id="rId5"/>
    <sheet state="visible" name="Copy of 2026 Emory Prices, Clea" sheetId="2" r:id="rId6"/>
    <sheet state="visible" name="2026 Financials Template" sheetId="3" r:id="rId7"/>
    <sheet state="visible" name="To be Discussed" sheetId="4" r:id="rId8"/>
  </sheets>
  <definedNames/>
  <calcPr/>
</workbook>
</file>

<file path=xl/sharedStrings.xml><?xml version="1.0" encoding="utf-8"?>
<sst xmlns="http://schemas.openxmlformats.org/spreadsheetml/2006/main" count="458" uniqueCount="249">
  <si>
    <t>Version: 12.23.25</t>
  </si>
  <si>
    <t>Item name</t>
  </si>
  <si>
    <t>Item Description</t>
  </si>
  <si>
    <t>Units</t>
  </si>
  <si>
    <t>Price / Unit</t>
  </si>
  <si>
    <t>Subtotal</t>
  </si>
  <si>
    <t>Pre-Production Services</t>
  </si>
  <si>
    <t>Zoom Setup</t>
  </si>
  <si>
    <t>The creation of the streaming link for the Zoom Webinar or Zoom Meeting. This includes a Zoom One Pro host account, entering all proper settings for the type of Zoom, and inviting Panelist or guests. Webinars require an additional "Webinar License" from Zoom which is billed per event.</t>
  </si>
  <si>
    <t>Stream Graphics Prep</t>
  </si>
  <si>
    <t>We create a title screen and lower thirds for your production, following your brand's style guide. If you would like to show more than 25 names onscreen, there may be an additional charge.</t>
  </si>
  <si>
    <t>Labor</t>
  </si>
  <si>
    <t>-- Production Lead (Hourly)</t>
  </si>
  <si>
    <t xml:space="preserve">Production Leads are cross-trained AV professionals with experience leading projects. For solo projects, we recommend hiring a production lead because they have the experience and self-management skills to offer you turn-key service. </t>
  </si>
  <si>
    <t>-- Stream Tech (Day Rate)</t>
  </si>
  <si>
    <t>Stream Techs have experience producing hybrid events. They are familiar with the major streaming platforms, and have experience switching cameras, cuing graphics, and media playback in real time. They will monitor the stream output from a 2nd computer throughout the event, to ensure the remote audience is receiving a quality output.</t>
  </si>
  <si>
    <t>Equipment</t>
  </si>
  <si>
    <t>RECORDING/LIVESTREAMING</t>
  </si>
  <si>
    <t>Camcorder Kit</t>
  </si>
  <si>
    <t>Includes camcorder, extra tall tripod (8'), XLR audio cable, HDMI cable, extension cord, power strip, and SD cards</t>
  </si>
  <si>
    <t>Stream Kit</t>
  </si>
  <si>
    <t>Includes high-performance computer, video switcher/encoder, HDMI cable for up to 4 video inputs, extra laptop to monitor stream output, extension cord, power strip</t>
  </si>
  <si>
    <t>MISC / MIXED USE</t>
  </si>
  <si>
    <t>AV Essential Kit</t>
  </si>
  <si>
    <r>
      <rPr>
        <rFont val="Arial"/>
        <color theme="1"/>
      </rPr>
      <t xml:space="preserve">Includes a Laptop, power-point clicker, HDMI cable, video scaler &amp; voltage regulator, aux cord, USB adapters, thumbdrive, batteries, Humbuster noise reducer for audio signals, and audio cable adapters. </t>
    </r>
    <r>
      <rPr>
        <rFont val="Arial"/>
        <color theme="1"/>
      </rPr>
      <t>Required for all onsite productions</t>
    </r>
  </si>
  <si>
    <t>Discounts</t>
  </si>
  <si>
    <t>DISCOUNT</t>
  </si>
  <si>
    <t>Discount - Production Lead (10% off hourly rate) for projects exceeding $10,000 or clients who exceed $10,000 of business annually</t>
  </si>
  <si>
    <t>Site Visit</t>
  </si>
  <si>
    <t>Our Production Lead visits your venue before the day of your production to get comfortable with space and finalize their plan. We do this for venues the Production Lead has not worked at in the past 45 days.</t>
  </si>
  <si>
    <t>Free</t>
  </si>
  <si>
    <t>Additional Meeting</t>
  </si>
  <si>
    <t>Tech Time Hourly, 2hr minimum for additional on-site visit</t>
  </si>
  <si>
    <t>?</t>
  </si>
  <si>
    <t>Power-Point Prep</t>
  </si>
  <si>
    <t>We download your power-point(s) and load them onto the computer that will be used in your production. We confirm fonts, aspect ratio, and video playback, as needed. We assemble the power-points into a master deck or ordered file directory. Billed hourly (typically one hour/day)</t>
  </si>
  <si>
    <t>YouTube Stream Link</t>
  </si>
  <si>
    <t>We will make a stream link for your production on YouTube. Includes logging into the host account, scheduling the stream, creating a description, checking stream settings, and uploading one of your images as a thumbnail for the stream.</t>
  </si>
  <si>
    <t>Custom Livestream Event Platform Setup</t>
  </si>
  <si>
    <t>Applies to boutique virtual event platforms, like Cvent. Sent up on these platforms takes many hours and is billed at the Production Lead Hourly rate.</t>
  </si>
  <si>
    <t># hours of work estimated</t>
  </si>
  <si>
    <t>per room/location, per day. Gigs with minimal graphics needs can be billed at .5 as a discount</t>
  </si>
  <si>
    <t xml:space="preserve">-- Production Lead (Day Rate) </t>
  </si>
  <si>
    <t>Production Leads are cross-trained AV professionals with experience leading projects. For solo projects, we recommend hiring a production lead because they have the experience and self-management skills to offer you turn-key service.</t>
  </si>
  <si>
    <t>-- Production Lead Overtime (Hourly)</t>
  </si>
  <si>
    <t xml:space="preserve">Hourly rate to cover anything over 10 hr daily rate. </t>
  </si>
  <si>
    <t>-- Director (Corporate Video) (Day Rate)</t>
  </si>
  <si>
    <r>
      <rPr>
        <rFont val="Arial"/>
        <color theme="1"/>
      </rPr>
      <t xml:space="preserve">Directors have experience filming videos in a studio setting. They bring a greater attention to detail with lighting and technical matters than a Live Event Camera Op. </t>
    </r>
    <r>
      <rPr>
        <rFont val="Arial"/>
        <color theme="1"/>
      </rPr>
      <t>Day Rate Only</t>
    </r>
  </si>
  <si>
    <t>-- Lighting Tech (Day Rate)</t>
  </si>
  <si>
    <t xml:space="preserve">Lighting Techs have experience with static lighting for visibility, ambiance, and followspot opration. Considers both the in person and recorded/livestreamed experience. </t>
  </si>
  <si>
    <t>-- Lighting Tech (Advanced) (Day Rate)</t>
  </si>
  <si>
    <t xml:space="preserve">Advanced Lighting Techs have experience with DMX programming, moving light fixtures, truss installation, and small team coordination. Considers both the in person and recorded/livestreamed experience. Necessary for complex lighting installations </t>
  </si>
  <si>
    <t>-- Audio Tech (Day Rate)</t>
  </si>
  <si>
    <t>Audio Techs have experience setting up sound systems and microphones for public address or simple music performance.</t>
  </si>
  <si>
    <t>-- Audio Tech (Advanced) (Day Rate)</t>
  </si>
  <si>
    <t>Advanced Audio Techs have experience deploying complex sound systems for large events or complex stage setups. Experienced with Digital Mixers, FOH and Monitor Mixing, and small team leadership. Necessary for complex audio setups.</t>
  </si>
  <si>
    <t>-- Camera Operator (Day Rate)</t>
  </si>
  <si>
    <r>
      <rPr>
        <rFont val="Arial"/>
        <color theme="1"/>
      </rPr>
      <t>Live Event Camera Operators have experience with camcorders and the flow of live events. These techs have experience in broadcast media and/or hybrid events.</t>
    </r>
    <r>
      <rPr>
        <rFont val="Arial"/>
        <color rgb="FFFF0000"/>
      </rPr>
      <t xml:space="preserve"> </t>
    </r>
  </si>
  <si>
    <t>--Projector Tech (Day Rate)</t>
  </si>
  <si>
    <t xml:space="preserve">Projector Techs have experience assembling projector screens, formatting projections to match screen size, and optimizing projections for any space. </t>
  </si>
  <si>
    <t xml:space="preserve">Graphics Tech (Day Rate) </t>
  </si>
  <si>
    <t>Graphic Techs have experience assembling power-point decks, operating Crestron systems, and setting up projectors. They also have general AV knowledge that makes them a suitable assistant for miscellaneous needs, such as monitoring chats online or helping setup large outdoor events</t>
  </si>
  <si>
    <t>-- Playback Tech (Day Rate)</t>
  </si>
  <si>
    <t>Playback Techs have experience assembling power-point decks, operating Crestron systems, projector operation, and LED screen operation. They also have general AV knowledge that makes them a suitable assistant for miscellaneous needs, such as monitoring chats online or helping setup large outdoor events.</t>
  </si>
  <si>
    <t>-- Event Photographer (Day Rate)</t>
  </si>
  <si>
    <r>
      <rPr>
        <rFont val="Arial"/>
        <color theme="1"/>
      </rPr>
      <t xml:space="preserve">Event Photographers have experience taking photos that capture the look and feel of your event. </t>
    </r>
    <r>
      <rPr>
        <rFont val="Arial"/>
        <color theme="1"/>
      </rPr>
      <t>Day Rate Only</t>
    </r>
  </si>
  <si>
    <t>AUDIO</t>
  </si>
  <si>
    <t>Analog Sound System Kit</t>
  </si>
  <si>
    <t>Includes analog audio mixer, two loudspeakers, and an aux cord for music playback</t>
  </si>
  <si>
    <t>Digital Sound System Kit</t>
  </si>
  <si>
    <t>Includes digital audio mixer (Behringer x32 or comparable), wireless access point, and ipad for remote mixing. two loudspeakers, and an aux cord for music playback</t>
  </si>
  <si>
    <r>
      <rPr>
        <rFont val="Arial"/>
        <b/>
        <color theme="1"/>
      </rPr>
      <t xml:space="preserve">Outdoor </t>
    </r>
    <r>
      <rPr>
        <rFont val="Arial"/>
        <b/>
        <color theme="1"/>
      </rPr>
      <t>Analog</t>
    </r>
    <r>
      <rPr>
        <rFont val="Arial"/>
        <b/>
        <color theme="1"/>
      </rPr>
      <t xml:space="preserve"> Sound System Kit</t>
    </r>
  </si>
  <si>
    <t>Includes a 6-channel mixer, two loudspeakers, aux cord for music playback, tent to cover and protect audio equipment, cable covers to eliminate walkway trip hazards (18 feet), lawn staples to eliminate trip hazards, folding table + chairs, flag markers, computer + camera shade</t>
  </si>
  <si>
    <r>
      <rPr>
        <rFont val="Arial"/>
        <b/>
        <color theme="1"/>
      </rPr>
      <t xml:space="preserve">Outdoor </t>
    </r>
    <r>
      <rPr>
        <rFont val="Arial"/>
        <b/>
        <color theme="1"/>
      </rPr>
      <t>Digital</t>
    </r>
    <r>
      <rPr>
        <rFont val="Arial"/>
        <b/>
        <color theme="1"/>
      </rPr>
      <t xml:space="preserve"> Sound System Kit</t>
    </r>
  </si>
  <si>
    <t>Includes digital audio mixer (Behringer x32 or comparable), wireless access point, and ipad for remote mixing. two loudspeakers, and an aux cord for music playback, tent to cover and protect audio equipment, cable covers to eliminate walkway trip hazards (18 feet), lawn staples to eliminate trip hazards, folding table + chairs, flag markers, computer + camera shade</t>
  </si>
  <si>
    <t>Extra Speaker (12" or 15")</t>
  </si>
  <si>
    <t>A single speaker, 12" or 15".</t>
  </si>
  <si>
    <t>Subwoofer Speaker</t>
  </si>
  <si>
    <t>15" or 18" speaker for representing low frequency information in live music environments</t>
  </si>
  <si>
    <t>Wired Mic Kit</t>
  </si>
  <si>
    <t>Includes dynamic microphone (SM58 or comparable), boom mic stand or table stand, and mic cable</t>
  </si>
  <si>
    <t>Condenser Mic Kit (Choir/Ensemble)</t>
  </si>
  <si>
    <t>Condenser mic, shock mount, mic stand, and mic cable.</t>
  </si>
  <si>
    <t>Wireless Handheld / Lav Combo Kit</t>
  </si>
  <si>
    <t>Includes one mic receiver (ie, one channel of audio on the mixer), one wireless handheld mic, one wireless lav, a short XLR, and batteries</t>
  </si>
  <si>
    <r>
      <rPr>
        <rFont val="Arial"/>
        <b/>
        <color theme="1"/>
      </rPr>
      <t>DI Box</t>
    </r>
    <r>
      <rPr>
        <rFont val="Arial"/>
        <b/>
        <color theme="1"/>
      </rPr>
      <t xml:space="preserve"> (Mono)</t>
    </r>
  </si>
  <si>
    <t>Audio devide for converting High Impedance, unbalanced audio signal to low impedance, balanced signal.</t>
  </si>
  <si>
    <t>400' XLR Crate</t>
  </si>
  <si>
    <t>400' of XLR cabling for long audio Runs</t>
  </si>
  <si>
    <t>Studio Camera Kit</t>
  </si>
  <si>
    <t>Includes Mirrorless Camera, tripod, 2 variable lenses, and 2x wireless lav mics</t>
  </si>
  <si>
    <t>GRAPHIC DISPLAY</t>
  </si>
  <si>
    <t>32" Confidence Monitor with Floor Stand</t>
  </si>
  <si>
    <r>
      <rPr>
        <rFont val="Arial"/>
        <color theme="1"/>
      </rPr>
      <t xml:space="preserve">32" LED Monitor for presenter reference. </t>
    </r>
    <r>
      <rPr>
        <rFont val="Arial"/>
        <color rgb="FFFF0000"/>
      </rPr>
      <t>May Require Graphic Accessory Kit or SDI Kit.</t>
    </r>
  </si>
  <si>
    <t>55" Confidence Monitor with Floor Stand</t>
  </si>
  <si>
    <r>
      <rPr>
        <rFont val="Arial"/>
        <color theme="1"/>
      </rPr>
      <t xml:space="preserve">55" LED Monitor for presenter reference. </t>
    </r>
    <r>
      <rPr>
        <rFont val="Arial"/>
        <color rgb="FFFF0000"/>
      </rPr>
      <t>May Require Graphic Accessory Kit or SDI Kit.</t>
    </r>
  </si>
  <si>
    <t>75" TV w/ Truss Mounting</t>
  </si>
  <si>
    <r>
      <rPr>
        <rFont val="Arial"/>
        <color theme="1"/>
      </rPr>
      <t xml:space="preserve">75" 4K LED screen. </t>
    </r>
    <r>
      <rPr>
        <rFont val="Arial"/>
        <color rgb="FFFF0000"/>
      </rPr>
      <t xml:space="preserve">Mounted on 6' Peerless monitor stand. May Require Graphic Accessory Kit or SDI Kit. Additional mounting options available, may incur additional costs </t>
    </r>
  </si>
  <si>
    <t>85" TV w/ Truss Mounting</t>
  </si>
  <si>
    <r>
      <rPr>
        <rFont val="Arial"/>
        <color theme="1"/>
      </rPr>
      <t xml:space="preserve">85" 4K LED screen. </t>
    </r>
    <r>
      <rPr>
        <rFont val="Arial"/>
        <color rgb="FFFF0000"/>
      </rPr>
      <t>Mounted on 6' Peerless monitor stand.</t>
    </r>
    <r>
      <rPr>
        <rFont val="Arial"/>
        <color theme="1"/>
      </rPr>
      <t xml:space="preserve"> </t>
    </r>
    <r>
      <rPr>
        <rFont val="Arial"/>
        <color rgb="FFFF0000"/>
      </rPr>
      <t xml:space="preserve">May Require Graphic Accessory Kit or SDI Kit. Additional mounting options available, may incur additional costs </t>
    </r>
  </si>
  <si>
    <t>8' Truss Mounting for Video Monitor</t>
  </si>
  <si>
    <t>Market Rate</t>
  </si>
  <si>
    <t>Additional Screen Sizes Available upon request</t>
  </si>
  <si>
    <t>Projector Screen - 8'x 8' Rollup</t>
  </si>
  <si>
    <t>Small rollup projector screen for small conferences or lectures</t>
  </si>
  <si>
    <t>Projector Screen - 12' with Dress Kit</t>
  </si>
  <si>
    <t>approx. 12' x 7' screen, adjustable height, ideal for 16:9 resolution video. Includes black dress kit.</t>
  </si>
  <si>
    <t>Projector Screen - 16' with Dress Kit</t>
  </si>
  <si>
    <t>approx. 16' x 9' screen, adjustable height, ideal for 16:9 resolution video. Includes black dress kit.</t>
  </si>
  <si>
    <t>Projectors &amp; Lenses</t>
  </si>
  <si>
    <r>
      <rPr>
        <rFont val="Arial"/>
        <color rgb="FF222222"/>
      </rPr>
      <t xml:space="preserve">Various Solutions for all graphic display needs. </t>
    </r>
    <r>
      <rPr>
        <rFont val="Arial"/>
        <color rgb="FFFF0000"/>
      </rPr>
      <t>May Require Graphic Accessory Kit, SDI Kit, and/or Projector Stand</t>
    </r>
  </si>
  <si>
    <t>Projector Stand</t>
  </si>
  <si>
    <r>
      <rPr>
        <rFont val="Arial"/>
        <color rgb="FF222222"/>
      </rPr>
      <t xml:space="preserve">Adjustable Table for Projector Support. Includes Dress Kit. </t>
    </r>
    <r>
      <rPr>
        <rFont val="Arial"/>
        <color rgb="FFFF0000"/>
      </rPr>
      <t>Required for all Projector deployments except when using ultra short throw lenses</t>
    </r>
  </si>
  <si>
    <t>Graphic display kit</t>
  </si>
  <si>
    <r>
      <rPr>
        <rFont val="Arial"/>
        <color theme="1"/>
      </rPr>
      <t xml:space="preserve">Includes Laptop, PowerPoint Clicker, Decimator, Video Switcher, Short HDMI cable, 50ft HDMI Cable, 50ft Power Cord, Power Strip, and Adapters. </t>
    </r>
    <r>
      <rPr>
        <rFont val="Arial"/>
        <color rgb="FFFF0000"/>
      </rPr>
      <t>Required accessories for display of gfx on projector screens and LED Screens</t>
    </r>
  </si>
  <si>
    <t>Live Closed Caption Kit</t>
  </si>
  <si>
    <t xml:space="preserve">Includes equipment sufficient for receiving and decoding live audio in real time for added accesibility. </t>
  </si>
  <si>
    <t>LIGHTING</t>
  </si>
  <si>
    <t>Stage Lighting Kit</t>
  </si>
  <si>
    <t>3 spotlights on adjustable C stands to create a stage wash and improved visibility for live events as well as video</t>
  </si>
  <si>
    <t>Lighting Kit - Marketing Video</t>
  </si>
  <si>
    <t>Studio lighting for a small area. This kit gives our highest quality visuals. Includes equipment for treating windows for unwanted glare and reflections.</t>
  </si>
  <si>
    <t>Make a photo booth kit</t>
  </si>
  <si>
    <t>Advanced Lighting Kit</t>
  </si>
  <si>
    <t>Followspot</t>
  </si>
  <si>
    <t>1 high powered spotlight on a pivot head to follow presenters. Requires dedicated lighting tech.</t>
  </si>
  <si>
    <t>Uplight Kit (Wired)</t>
  </si>
  <si>
    <t>Includes 16 corded LED uplights (Solid Color Non DMX controlled)</t>
  </si>
  <si>
    <t>Uplight Kit (Wireless)</t>
  </si>
  <si>
    <t>Includes 6 rechargeable Freedom Pars</t>
  </si>
  <si>
    <t>EVENT PHOTOGRAPHY</t>
  </si>
  <si>
    <t xml:space="preserve">Event Photo Camera Kit </t>
  </si>
  <si>
    <t>Includes a Canon EOS R series, external flash, 70-200mm lens, 14-35mm lens, and SD cards.</t>
  </si>
  <si>
    <r>
      <rPr>
        <rFont val="Arial"/>
        <color theme="1"/>
      </rPr>
      <t xml:space="preserve">Includes a Laptop, power-point clicker, HDMI cable, video scaler &amp; voltage regulator, aux cord, USB adapters, thumbdrive, batteries, Humbuster noise reducer for audio signals, and audio cable adapters. </t>
    </r>
    <r>
      <rPr>
        <rFont val="Arial"/>
        <color theme="1"/>
      </rPr>
      <t>Required for all onsite productions</t>
    </r>
  </si>
  <si>
    <t>AV Essential Kit (Half Day)</t>
  </si>
  <si>
    <r>
      <rPr>
        <rFont val="Arial"/>
        <color theme="1"/>
      </rPr>
      <t xml:space="preserve">Includes a Laptop, power-point clicker, HDMI cable, video scaler &amp; voltage regulator, aux cord, USB adapters, thumbdrive, batteries, Humbuster noise reducer for audio signals, and audio cable adapters. </t>
    </r>
    <r>
      <rPr>
        <rFont val="Arial"/>
        <color theme="1"/>
      </rPr>
      <t>Required for all onsite productions. Half Day Rate applies to events 4 hours or less</t>
    </r>
  </si>
  <si>
    <t>Additional Laptop</t>
  </si>
  <si>
    <t>An extra MacBook</t>
  </si>
  <si>
    <t>Cable Ramp</t>
  </si>
  <si>
    <t xml:space="preserve">Yellowjacket' style 2 channel cable cover. Price per 1 yard cover. </t>
  </si>
  <si>
    <t>iPad Teleprompter</t>
  </si>
  <si>
    <t>Tablet to display rolling scripts for live presentation or marketing video</t>
  </si>
  <si>
    <t>Long Video Cable Kit (SDI Cable)</t>
  </si>
  <si>
    <t>Includes 100ft of SDI Cable, two HDMI/SDI converter boxes with signal amplification built-in, two short HDMI cables, and two extension cords (to power the signal amplifiers)</t>
  </si>
  <si>
    <t>Power &amp; Conditioning Kit</t>
  </si>
  <si>
    <t>Conditioning prevents event interruption caused by brief power outages. It also reduces noise in audio equipment and flickering in lights. Kit includes 300ft of power cabling.</t>
  </si>
  <si>
    <t>400' Power Crate</t>
  </si>
  <si>
    <t>400' of AC power cabling</t>
  </si>
  <si>
    <t>-- Trucking In</t>
  </si>
  <si>
    <r>
      <rPr>
        <rFont val="Arial"/>
        <color theme="1"/>
      </rPr>
      <t xml:space="preserve">Delivery of equipment. </t>
    </r>
    <r>
      <rPr>
        <rFont val="Arial"/>
        <color theme="1"/>
      </rPr>
      <t>Price is per oversized vehicle required</t>
    </r>
  </si>
  <si>
    <t>-- Trucking Out</t>
  </si>
  <si>
    <r>
      <rPr>
        <rFont val="Arial"/>
        <color theme="1"/>
      </rPr>
      <t>Pickup of equipment.</t>
    </r>
    <r>
      <rPr>
        <rFont val="Arial"/>
        <color theme="1"/>
      </rPr>
      <t xml:space="preserve"> Price is per oversized vehicle required</t>
    </r>
  </si>
  <si>
    <t>Post-Production</t>
  </si>
  <si>
    <t>Video Trim</t>
  </si>
  <si>
    <t>Trimming the length of a video with no other changes. If segmenting a long recording into multiple snippets, price is per snippet created</t>
  </si>
  <si>
    <t>Misc Audio/Video/Photo Editing (Hourly)</t>
  </si>
  <si>
    <t>Hourly editing rate to cover editing not explicity listed above (1hr minimum)</t>
  </si>
  <si>
    <t>Lecture or Event - No PPT, up to 1 hr runtime</t>
  </si>
  <si>
    <t>Standard edit package. Details in Technical Scope. This package can be used for panel discussions. Price per camera angle</t>
  </si>
  <si>
    <t>Lecture w/ PPT, up to 1 hr</t>
  </si>
  <si>
    <t>Standard edit package. Details in Technical Scope. Includes Power-Point slides. Price per camera angle</t>
  </si>
  <si>
    <t>Lecture or Event, no PPT, up to 2hrs</t>
  </si>
  <si>
    <t>Lecture or Event w/ PPT, up to 2hrs</t>
  </si>
  <si>
    <t>Lecture or Event up to 3hrs, no PPT</t>
  </si>
  <si>
    <t>3 hr lecture w/ PPT</t>
  </si>
  <si>
    <t>Additional Video Source</t>
  </si>
  <si>
    <t>Price / event hour to incorporate additional video sources i.e multiple camera angles, prerecorded video footage, slide decks</t>
  </si>
  <si>
    <t>Event Highlight Video - 5 minutes</t>
  </si>
  <si>
    <t>A mix of interviews and B-Roll clips show the key moments of your production. These edits require that you approve a storyboard before the day of filming.</t>
  </si>
  <si>
    <t>Executive Interview or Marketing Video (up to 5 min runtime) - w/ Graphics &amp; B-Roll</t>
  </si>
  <si>
    <t>This edit includes an intro and outro sequence, lower thirds, audio mxing, and color correction. We will select the speaker's best takes for each line. We will add cut-away clips of locations and actions that show the material the presenter describes. We can also add animated text on screen and Ken Burns-style photo effects. These edits require you approve a storyboard before the day of filming.</t>
  </si>
  <si>
    <t># videos</t>
  </si>
  <si>
    <t>Executive Interview or Marketing Video (up to 10 min runtime) - w/ Graphics &amp; B-Roll</t>
  </si>
  <si>
    <t>Basic Photo Editing (Price / 2hr event with a 2 hour minimum)</t>
  </si>
  <si>
    <t xml:space="preserve">Simple edit for orientation and exposure of candid event photography. Guaranteed 45 photos per shoot minimum. </t>
  </si>
  <si>
    <t># events</t>
  </si>
  <si>
    <t>2025 Prices</t>
  </si>
  <si>
    <t>Labor / inflation</t>
  </si>
  <si>
    <t>Equipment Cost</t>
  </si>
  <si>
    <t>Editing</t>
  </si>
  <si>
    <t>2026 Emory</t>
  </si>
  <si>
    <t>Active Production &amp; Design</t>
  </si>
  <si>
    <t>360 AV Rentals</t>
  </si>
  <si>
    <t>CTI</t>
  </si>
  <si>
    <t>AV Wave</t>
  </si>
  <si>
    <t>Global Audio Visual</t>
  </si>
  <si>
    <t>A.W. Productions</t>
  </si>
  <si>
    <t>Multiband Studios</t>
  </si>
  <si>
    <t>Onsite</t>
  </si>
  <si>
    <t>Encore</t>
  </si>
  <si>
    <t>Multiply by 3% inflation</t>
  </si>
  <si>
    <t>Increase</t>
  </si>
  <si>
    <t>Total</t>
  </si>
  <si>
    <t>MSRP</t>
  </si>
  <si>
    <t>Multiply by10%</t>
  </si>
  <si>
    <t>Multiply by 3%</t>
  </si>
  <si>
    <t>DD</t>
  </si>
  <si>
    <t>JN</t>
  </si>
  <si>
    <t>BK</t>
  </si>
  <si>
    <t>FREE</t>
  </si>
  <si>
    <t>Additional Meeting (Hourly)</t>
  </si>
  <si>
    <t>Power-Point Prep (Hourly)</t>
  </si>
  <si>
    <t>Zoom Webinar License - 500</t>
  </si>
  <si>
    <t>$79?</t>
  </si>
  <si>
    <t>I looked up Zoom it says $129</t>
  </si>
  <si>
    <t>Stream Graphics Prep (L3 + intro/outro?)</t>
  </si>
  <si>
    <t>Advanced' Stream Graphics Prep (2 stream units + PL meeting for feedback?)</t>
  </si>
  <si>
    <t>From Daniel</t>
  </si>
  <si>
    <t>We are keeping this at $995</t>
  </si>
  <si>
    <t>can stay</t>
  </si>
  <si>
    <t>-- Projector Tech (Day Rate)</t>
  </si>
  <si>
    <t xml:space="preserve">-- Graphics Tech (Day Rate) </t>
  </si>
  <si>
    <r>
      <rPr>
        <rFont val="Arial"/>
        <b/>
        <color theme="1"/>
      </rPr>
      <t xml:space="preserve">Outdoor </t>
    </r>
    <r>
      <rPr>
        <rFont val="Arial"/>
        <b/>
        <color theme="1"/>
      </rPr>
      <t>Analog</t>
    </r>
    <r>
      <rPr>
        <rFont val="Arial"/>
        <b/>
        <color theme="1"/>
      </rPr>
      <t xml:space="preserve"> Sound System Kit</t>
    </r>
  </si>
  <si>
    <r>
      <rPr>
        <rFont val="Arial"/>
        <b/>
        <color theme="1"/>
      </rPr>
      <t xml:space="preserve">Outdoor </t>
    </r>
    <r>
      <rPr>
        <rFont val="Arial"/>
        <b/>
        <color theme="1"/>
      </rPr>
      <t>Digital</t>
    </r>
    <r>
      <rPr>
        <rFont val="Arial"/>
        <b/>
        <color theme="1"/>
      </rPr>
      <t xml:space="preserve"> Sound System Kit</t>
    </r>
  </si>
  <si>
    <t>Live Event Mic Locker (2x condenser, 6x wired mics, 8x stands, 2x DI box, XLR kit) (Value: $488)</t>
  </si>
  <si>
    <r>
      <rPr>
        <rFont val="Arial"/>
        <b/>
        <color theme="1"/>
      </rPr>
      <t>DI Box</t>
    </r>
    <r>
      <rPr>
        <rFont val="Arial"/>
        <b/>
        <color theme="1"/>
      </rPr>
      <t xml:space="preserve"> (Mono)</t>
    </r>
  </si>
  <si>
    <t>4K Projector</t>
  </si>
  <si>
    <t>4.5K Laser Projector</t>
  </si>
  <si>
    <r>
      <rPr>
        <rFont val="Arial"/>
        <b/>
        <strike/>
        <color theme="1"/>
      </rPr>
      <t>8K Projector</t>
    </r>
    <r>
      <rPr>
        <rFont val="Arial"/>
        <b/>
        <color theme="1"/>
      </rPr>
      <t xml:space="preserve"> Relabel this as the 6K price for our PJs? Shrinkflation?</t>
    </r>
  </si>
  <si>
    <t>This houldn't be more expensive than the 8k if we can help it... these are ours so we can go lower</t>
  </si>
  <si>
    <t>8K Laser Projector (nationwide)</t>
  </si>
  <si>
    <t xml:space="preserve">12K Laser Projector LCD (Price for epson 13k, just as good as more expensive 12k  </t>
  </si>
  <si>
    <t>15k Projector</t>
  </si>
  <si>
    <t>Specialty Projector Lens (Ultra Short / Mirrored Lens)</t>
  </si>
  <si>
    <t>Graphic Display Kit</t>
  </si>
  <si>
    <t>Outdoor LED Screen (increased for tax &amp; other expenses)</t>
  </si>
  <si>
    <r>
      <rPr>
        <rFont val="Arial"/>
        <color theme="1"/>
      </rPr>
      <t xml:space="preserve">Daniel's suggestion is $3,000 </t>
    </r>
    <r>
      <rPr>
        <rFont val="Arial"/>
        <color rgb="FFFF0000"/>
      </rPr>
      <t>Higher b/c we were undercharging / not considering tax before, I think (couldn't find an invoice)</t>
    </r>
  </si>
  <si>
    <t>Live Closed Caption Kit (rename as 'advanced graphics hardware kit'? (description = for IMAG, live closed captions, and complex graphics packages) (replace standard gfx kit)</t>
  </si>
  <si>
    <t>Followspot (Requires Operator)</t>
  </si>
  <si>
    <t>Uplight Kit (Mini)</t>
  </si>
  <si>
    <t>Podium (should we remove this?)</t>
  </si>
  <si>
    <t>Pipe and Drape Dress Kit (Per Foot)</t>
  </si>
  <si>
    <r>
      <rPr>
        <rFont val="Arial"/>
        <b/>
        <color theme="1"/>
      </rPr>
      <t xml:space="preserve">Conference Edit </t>
    </r>
    <r>
      <rPr>
        <rFont val="Arial"/>
        <b/>
        <color rgb="FFFF0000"/>
      </rPr>
      <t>?????</t>
    </r>
  </si>
  <si>
    <t>Variable</t>
  </si>
  <si>
    <t>??</t>
  </si>
  <si>
    <t>Event Highlight Video - 10 minutes</t>
  </si>
  <si>
    <r>
      <rPr>
        <rFont val="Arial"/>
        <color theme="1"/>
      </rPr>
      <t xml:space="preserve">Jo's suggestion is $1,200 </t>
    </r>
    <r>
      <rPr>
        <rFont val="Arial"/>
        <color rgb="FFFF0000"/>
      </rPr>
      <t>10 minutes??? I feel like we should do 5, 10 is too long</t>
    </r>
  </si>
  <si>
    <t>Jo's suggestion is $260</t>
  </si>
  <si>
    <t>Portrait Photo editing</t>
  </si>
  <si>
    <t>Podcast - up to 1 hour</t>
  </si>
  <si>
    <t>From Jo</t>
  </si>
  <si>
    <t>Social cutdown (add-on)</t>
  </si>
  <si>
    <t>Promo videos (GFX + Photos, no interviews)</t>
  </si>
  <si>
    <t>Course videos (YT style, 20 minutes)</t>
  </si>
  <si>
    <t>Medium intensity lamp projector sufficient for dark rooms and small screens.</t>
  </si>
  <si>
    <t>8K Projector</t>
  </si>
  <si>
    <t>High intensity lamp projector capable of projecting in rooms with light bleed and on to large screens.</t>
  </si>
  <si>
    <t>Includes 4 rechargeable H1 Lights</t>
  </si>
  <si>
    <t>keep on subrental DB for reference only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</si>
</sst>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20">
    <font>
      <sz val="10.0"/>
      <color rgb="FF000000"/>
      <name val="Arial"/>
      <scheme val="minor"/>
    </font>
    <font>
      <b/>
      <color theme="1"/>
      <name val="Arial"/>
    </font>
    <font>
      <color theme="1"/>
      <name val="Arial"/>
      <scheme val="minor"/>
    </font>
    <font/>
    <font>
      <color theme="1"/>
      <name val="Arial"/>
    </font>
    <font>
      <b/>
      <color rgb="FF222222"/>
      <name val="Arial"/>
    </font>
    <font>
      <b/>
      <color rgb="FFFF0000"/>
      <name val="Arial"/>
    </font>
    <font>
      <color rgb="FFFF0000"/>
      <name val="Arial"/>
    </font>
    <font>
      <color rgb="FFFF0000"/>
      <name val="Arial"/>
      <scheme val="minor"/>
    </font>
    <font>
      <color rgb="FF222222"/>
      <name val="Arial"/>
    </font>
    <font>
      <b/>
      <color theme="1"/>
      <name val="Arial"/>
      <scheme val="minor"/>
    </font>
    <font>
      <b/>
      <color rgb="FFFFFFFF"/>
      <name val="Arial"/>
      <scheme val="minor"/>
    </font>
    <font>
      <i/>
      <color theme="1"/>
      <name val="Arial"/>
    </font>
    <font>
      <b/>
      <color rgb="FF34A853"/>
      <name val="Arial"/>
      <scheme val="minor"/>
    </font>
    <font>
      <color rgb="FF0000FF"/>
      <name val="Arial"/>
      <scheme val="minor"/>
    </font>
    <font>
      <b/>
      <strike/>
      <color theme="1"/>
      <name val="Arial"/>
    </font>
    <font>
      <strike/>
      <color theme="1"/>
      <name val="Arial"/>
    </font>
    <font>
      <b/>
      <color rgb="FF34A853"/>
      <name val="Arial"/>
    </font>
    <font>
      <b/>
      <color theme="7"/>
      <name val="Arial"/>
    </font>
    <font>
      <b/>
      <color theme="7"/>
      <name val="Arial"/>
      <scheme val="minor"/>
    </font>
  </fonts>
  <fills count="11">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3C78D8"/>
        <bgColor rgb="FF3C78D8"/>
      </patternFill>
    </fill>
    <fill>
      <patternFill patternType="solid">
        <fgColor theme="0"/>
        <bgColor theme="0"/>
      </patternFill>
    </fill>
    <fill>
      <patternFill patternType="solid">
        <fgColor rgb="FFF3F3F3"/>
        <bgColor rgb="FFF3F3F3"/>
      </patternFill>
    </fill>
    <fill>
      <patternFill patternType="solid">
        <fgColor rgb="FFFFF2CC"/>
        <bgColor rgb="FFFFF2CC"/>
      </patternFill>
    </fill>
    <fill>
      <patternFill patternType="solid">
        <fgColor rgb="FFFFFF00"/>
        <bgColor rgb="FFFFFF00"/>
      </patternFill>
    </fill>
    <fill>
      <patternFill patternType="solid">
        <fgColor rgb="FFEFEFEF"/>
        <bgColor rgb="FFEFEFEF"/>
      </patternFill>
    </fill>
    <fill>
      <patternFill patternType="solid">
        <fgColor rgb="FFFF0000"/>
        <bgColor rgb="FFFF0000"/>
      </patternFill>
    </fill>
  </fills>
  <borders count="10">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0" fillId="2" fontId="1" numFmtId="0" xfId="0" applyAlignment="1" applyFill="1" applyFont="1">
      <alignment horizontal="left" readingOrder="0" vertical="bottom"/>
    </xf>
    <xf borderId="0" fillId="2" fontId="1" numFmtId="0" xfId="0" applyAlignment="1" applyFont="1">
      <alignment horizontal="center" vertical="bottom"/>
    </xf>
    <xf borderId="0" fillId="2" fontId="2" numFmtId="164" xfId="0" applyFont="1" applyNumberFormat="1"/>
    <xf borderId="0" fillId="2" fontId="2" numFmtId="0" xfId="0" applyFont="1"/>
    <xf borderId="1" fillId="2" fontId="1" numFmtId="0" xfId="0" applyAlignment="1" applyBorder="1" applyFont="1">
      <alignment horizontal="center" vertical="center"/>
    </xf>
    <xf borderId="1" fillId="2" fontId="1" numFmtId="164" xfId="0" applyAlignment="1" applyBorder="1" applyFont="1" applyNumberFormat="1">
      <alignment horizontal="center" vertical="center"/>
    </xf>
    <xf borderId="0" fillId="0" fontId="2" numFmtId="164" xfId="0" applyFont="1" applyNumberFormat="1"/>
    <xf borderId="2" fillId="2" fontId="1"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2" fontId="1" numFmtId="0" xfId="0" applyAlignment="1" applyBorder="1" applyFont="1">
      <alignment horizontal="center" shrinkToFit="0" vertical="center" wrapText="1"/>
    </xf>
    <xf borderId="0" fillId="2" fontId="4" numFmtId="0" xfId="0" applyAlignment="1" applyFont="1">
      <alignment shrinkToFit="0" vertical="center" wrapText="1"/>
    </xf>
    <xf borderId="0" fillId="2" fontId="4" numFmtId="0" xfId="0" applyAlignment="1" applyFont="1">
      <alignment horizontal="center" readingOrder="0" shrinkToFit="0" vertical="center" wrapText="1"/>
    </xf>
    <xf borderId="0" fillId="2" fontId="2" numFmtId="164" xfId="0" applyAlignment="1" applyFont="1" applyNumberFormat="1">
      <alignment horizontal="center" readingOrder="0" vertical="center"/>
    </xf>
    <xf borderId="6" fillId="2" fontId="2" numFmtId="164" xfId="0" applyAlignment="1" applyBorder="1" applyFont="1" applyNumberFormat="1">
      <alignment horizontal="center" vertical="center"/>
    </xf>
    <xf borderId="7" fillId="2" fontId="1" numFmtId="0" xfId="0" applyAlignment="1" applyBorder="1" applyFont="1">
      <alignment horizontal="center" shrinkToFit="0" vertical="center" wrapText="1"/>
    </xf>
    <xf borderId="8" fillId="0" fontId="3" numFmtId="0" xfId="0" applyBorder="1" applyFont="1"/>
    <xf borderId="9" fillId="0" fontId="3" numFmtId="0" xfId="0" applyBorder="1" applyFont="1"/>
    <xf borderId="0" fillId="2" fontId="4" numFmtId="1" xfId="0" applyAlignment="1" applyFont="1" applyNumberFormat="1">
      <alignment horizontal="center" readingOrder="0" shrinkToFit="0" vertical="center" wrapText="1"/>
    </xf>
    <xf borderId="0" fillId="0" fontId="2" numFmtId="0" xfId="0" applyFont="1"/>
    <xf borderId="7" fillId="2" fontId="5" numFmtId="0" xfId="0" applyAlignment="1" applyBorder="1" applyFont="1">
      <alignment horizontal="center" shrinkToFit="0" vertical="center" wrapText="1"/>
    </xf>
    <xf borderId="3" fillId="2" fontId="4" numFmtId="0" xfId="0" applyAlignment="1" applyBorder="1" applyFont="1">
      <alignment shrinkToFit="0" vertical="center" wrapText="1"/>
    </xf>
    <xf borderId="3" fillId="2" fontId="4" numFmtId="1" xfId="0" applyAlignment="1" applyBorder="1" applyFont="1" applyNumberFormat="1">
      <alignment horizontal="center" shrinkToFit="0" vertical="center" wrapText="1"/>
    </xf>
    <xf borderId="3" fillId="2" fontId="4" numFmtId="164" xfId="0" applyAlignment="1" applyBorder="1" applyFont="1" applyNumberFormat="1">
      <alignment horizontal="center" vertical="center"/>
    </xf>
    <xf borderId="4" fillId="2" fontId="2" numFmtId="164" xfId="0" applyAlignment="1" applyBorder="1" applyFont="1" applyNumberFormat="1">
      <alignment horizontal="center" vertical="center"/>
    </xf>
    <xf borderId="0" fillId="2" fontId="4" numFmtId="1" xfId="0" applyAlignment="1" applyFont="1" applyNumberFormat="1">
      <alignment horizontal="center" shrinkToFit="0" vertical="center" wrapText="1"/>
    </xf>
    <xf borderId="6" fillId="2" fontId="2" numFmtId="0" xfId="0" applyAlignment="1" applyBorder="1" applyFont="1">
      <alignment horizontal="center" readingOrder="0" vertical="center"/>
    </xf>
    <xf borderId="0" fillId="2" fontId="4" numFmtId="0" xfId="0" applyAlignment="1" applyFont="1">
      <alignment horizontal="center" vertical="center"/>
    </xf>
    <xf borderId="6" fillId="2" fontId="2" numFmtId="0" xfId="0" applyAlignment="1" applyBorder="1" applyFont="1">
      <alignment horizontal="center" vertical="center"/>
    </xf>
    <xf borderId="0" fillId="2" fontId="4" numFmtId="0" xfId="0" applyAlignment="1" applyFont="1">
      <alignment horizontal="center" shrinkToFit="0" vertical="center" wrapText="1"/>
    </xf>
    <xf borderId="0" fillId="2" fontId="2" numFmtId="164" xfId="0" applyAlignment="1" applyFont="1" applyNumberFormat="1">
      <alignment horizontal="center" vertical="center"/>
    </xf>
    <xf borderId="0" fillId="2" fontId="4" numFmtId="1" xfId="0" applyAlignment="1" applyFont="1" applyNumberFormat="1">
      <alignment horizontal="center" vertical="center"/>
    </xf>
    <xf borderId="0" fillId="2" fontId="4" numFmtId="164" xfId="0" applyAlignment="1" applyFont="1" applyNumberFormat="1">
      <alignment horizontal="center" vertical="center"/>
    </xf>
    <xf borderId="7" fillId="2" fontId="1" numFmtId="0" xfId="0" applyAlignment="1" applyBorder="1" applyFont="1">
      <alignment horizontal="center" vertical="center"/>
    </xf>
    <xf borderId="0" fillId="2" fontId="4" numFmtId="0" xfId="0" applyAlignment="1" applyFont="1">
      <alignment readingOrder="0" shrinkToFit="0" vertical="center" wrapText="1"/>
    </xf>
    <xf borderId="0" fillId="2" fontId="4" numFmtId="0" xfId="0" applyAlignment="1" applyFont="1">
      <alignment horizontal="center" readingOrder="0" vertical="center"/>
    </xf>
    <xf borderId="5" fillId="2" fontId="6" numFmtId="0" xfId="0" applyAlignment="1" applyBorder="1" applyFont="1">
      <alignment horizontal="center" readingOrder="0" shrinkToFit="0" vertical="center" wrapText="1"/>
    </xf>
    <xf borderId="0" fillId="2" fontId="7" numFmtId="0" xfId="0" applyAlignment="1" applyFont="1">
      <alignment readingOrder="0" shrinkToFit="0" vertical="center" wrapText="1"/>
    </xf>
    <xf borderId="0" fillId="2" fontId="7" numFmtId="0" xfId="0" applyAlignment="1" applyFont="1">
      <alignment horizontal="center" readingOrder="0" vertical="center"/>
    </xf>
    <xf borderId="0" fillId="2" fontId="8" numFmtId="164" xfId="0" applyAlignment="1" applyFont="1" applyNumberFormat="1">
      <alignment horizontal="center" readingOrder="0" vertical="center"/>
    </xf>
    <xf borderId="6" fillId="2" fontId="8" numFmtId="0" xfId="0" applyAlignment="1" applyBorder="1" applyFont="1">
      <alignment horizontal="center" vertical="center"/>
    </xf>
    <xf borderId="5" fillId="2" fontId="5" numFmtId="0" xfId="0" applyAlignment="1" applyBorder="1" applyFont="1">
      <alignment horizontal="center" readingOrder="0" vertical="center"/>
    </xf>
    <xf borderId="0" fillId="2" fontId="9" numFmtId="164" xfId="0" applyAlignment="1" applyFont="1" applyNumberFormat="1">
      <alignment readingOrder="0" shrinkToFit="0" vertical="center" wrapText="1"/>
    </xf>
    <xf borderId="0" fillId="2" fontId="9" numFmtId="1" xfId="0" applyAlignment="1" applyFont="1" applyNumberFormat="1">
      <alignment horizontal="center" vertical="center"/>
    </xf>
    <xf borderId="5" fillId="2" fontId="5" numFmtId="0" xfId="0" applyAlignment="1" applyBorder="1" applyFont="1">
      <alignment horizontal="center" vertical="center"/>
    </xf>
    <xf borderId="0" fillId="2" fontId="4" numFmtId="164" xfId="0" applyAlignment="1" applyFont="1" applyNumberFormat="1">
      <alignment readingOrder="0" shrinkToFit="0" vertical="center" wrapText="1"/>
    </xf>
    <xf borderId="0" fillId="0" fontId="8" numFmtId="0" xfId="0" applyAlignment="1" applyFont="1">
      <alignment readingOrder="0"/>
    </xf>
    <xf borderId="0" fillId="2" fontId="7" numFmtId="0" xfId="0" applyAlignment="1" applyFont="1">
      <alignment shrinkToFit="0" vertical="center" wrapText="1"/>
    </xf>
    <xf borderId="0" fillId="2" fontId="7" numFmtId="1" xfId="0" applyAlignment="1" applyFont="1" applyNumberFormat="1">
      <alignment horizontal="center" shrinkToFit="0" vertical="center" wrapText="1"/>
    </xf>
    <xf borderId="0" fillId="2" fontId="9" numFmtId="0" xfId="0" applyAlignment="1" applyFont="1">
      <alignment shrinkToFit="0" vertical="center" wrapText="1"/>
    </xf>
    <xf borderId="5" fillId="2" fontId="5" numFmtId="0" xfId="0" applyAlignment="1" applyBorder="1" applyFont="1">
      <alignment horizontal="center" shrinkToFit="0" vertical="center" wrapText="1"/>
    </xf>
    <xf borderId="0" fillId="2" fontId="9" numFmtId="0" xfId="0" applyAlignment="1" applyFont="1">
      <alignment vertical="center"/>
    </xf>
    <xf quotePrefix="1" borderId="0" fillId="2" fontId="4" numFmtId="0" xfId="0" applyAlignment="1" applyFont="1">
      <alignment shrinkToFit="0" vertical="center" wrapText="1"/>
    </xf>
    <xf borderId="5" fillId="2" fontId="1" numFmtId="0" xfId="0" applyAlignment="1" applyBorder="1" applyFont="1">
      <alignment horizontal="center" readingOrder="0" shrinkToFit="0" vertical="center" wrapText="1"/>
    </xf>
    <xf borderId="0" fillId="2" fontId="9" numFmtId="0" xfId="0" applyAlignment="1" applyFont="1">
      <alignment horizontal="center" shrinkToFit="0" vertical="center" wrapText="1"/>
    </xf>
    <xf borderId="4" fillId="2" fontId="2" numFmtId="0" xfId="0" applyAlignment="1" applyBorder="1" applyFont="1">
      <alignment vertical="center"/>
    </xf>
    <xf borderId="1" fillId="3" fontId="1" numFmtId="0" xfId="0" applyAlignment="1" applyBorder="1" applyFill="1" applyFont="1">
      <alignment horizontal="center" vertical="bottom"/>
    </xf>
    <xf borderId="1" fillId="3" fontId="1" numFmtId="164" xfId="0" applyAlignment="1" applyBorder="1" applyFont="1" applyNumberFormat="1">
      <alignment horizontal="center" readingOrder="0" vertical="bottom"/>
    </xf>
    <xf borderId="7" fillId="3" fontId="10" numFmtId="0" xfId="0" applyAlignment="1" applyBorder="1" applyFont="1">
      <alignment horizontal="center" readingOrder="0" shrinkToFit="0" vertical="center" wrapText="1"/>
    </xf>
    <xf borderId="8" fillId="3" fontId="3" numFmtId="0" xfId="0" applyBorder="1" applyFont="1"/>
    <xf borderId="9" fillId="3" fontId="3" numFmtId="0" xfId="0" applyBorder="1" applyFont="1"/>
    <xf borderId="7" fillId="3" fontId="10" numFmtId="0" xfId="0" applyAlignment="1" applyBorder="1" applyFont="1">
      <alignment horizontal="center" readingOrder="0"/>
    </xf>
    <xf borderId="7" fillId="4" fontId="11" numFmtId="0" xfId="0" applyAlignment="1" applyBorder="1" applyFill="1" applyFont="1">
      <alignment horizontal="center" readingOrder="0"/>
    </xf>
    <xf borderId="8" fillId="4" fontId="11" numFmtId="0" xfId="0" applyAlignment="1" applyBorder="1" applyFont="1">
      <alignment horizontal="center" readingOrder="0"/>
    </xf>
    <xf borderId="9" fillId="4" fontId="11" numFmtId="0" xfId="0" applyAlignment="1" applyBorder="1" applyFont="1">
      <alignment horizontal="center" readingOrder="0"/>
    </xf>
    <xf borderId="2" fillId="2" fontId="1" numFmtId="0" xfId="0" applyAlignment="1" applyBorder="1" applyFont="1">
      <alignment horizontal="left" shrinkToFit="0" vertical="bottom" wrapText="1"/>
    </xf>
    <xf borderId="4" fillId="2" fontId="1" numFmtId="0" xfId="0" applyAlignment="1" applyBorder="1" applyFont="1">
      <alignment horizontal="left" shrinkToFit="0" vertical="bottom" wrapText="1"/>
    </xf>
    <xf borderId="0" fillId="2" fontId="2" numFmtId="0" xfId="0" applyAlignment="1" applyFont="1">
      <alignment horizontal="left" readingOrder="0" shrinkToFit="0" vertical="center" wrapText="0"/>
    </xf>
    <xf borderId="0" fillId="2" fontId="2" numFmtId="0" xfId="0" applyAlignment="1" applyFont="1">
      <alignment horizontal="left" readingOrder="0"/>
    </xf>
    <xf borderId="0" fillId="2" fontId="2" numFmtId="0" xfId="0" applyAlignment="1" applyFont="1">
      <alignment horizontal="center" readingOrder="0"/>
    </xf>
    <xf borderId="6" fillId="2" fontId="2" numFmtId="0" xfId="0" applyAlignment="1" applyBorder="1" applyFont="1">
      <alignment horizontal="left" readingOrder="0"/>
    </xf>
    <xf borderId="0" fillId="2" fontId="2" numFmtId="0" xfId="0" applyAlignment="1" applyFont="1">
      <alignment horizontal="left" readingOrder="0" shrinkToFit="0" wrapText="0"/>
    </xf>
    <xf borderId="6" fillId="2" fontId="2" numFmtId="0" xfId="0" applyAlignment="1" applyBorder="1" applyFont="1">
      <alignment horizontal="center" readingOrder="0"/>
    </xf>
    <xf borderId="5" fillId="5" fontId="1" numFmtId="0" xfId="0" applyAlignment="1" applyBorder="1" applyFill="1" applyFont="1">
      <alignment horizontal="left" shrinkToFit="0" vertical="bottom" wrapText="1"/>
    </xf>
    <xf borderId="0" fillId="5" fontId="12" numFmtId="164" xfId="0" applyAlignment="1" applyFont="1" applyNumberFormat="1">
      <alignment horizontal="center" vertical="bottom"/>
    </xf>
    <xf borderId="0" fillId="5" fontId="2" numFmtId="0" xfId="0" applyFont="1"/>
    <xf borderId="6" fillId="5" fontId="2" numFmtId="0" xfId="0" applyBorder="1" applyFont="1"/>
    <xf borderId="0" fillId="5" fontId="2" numFmtId="0" xfId="0" applyAlignment="1" applyFont="1">
      <alignment horizontal="center"/>
    </xf>
    <xf borderId="6" fillId="5" fontId="2" numFmtId="0" xfId="0" applyAlignment="1" applyBorder="1" applyFont="1">
      <alignment horizontal="center"/>
    </xf>
    <xf borderId="0" fillId="5" fontId="2" numFmtId="0" xfId="0" applyAlignment="1" applyFont="1">
      <alignment horizontal="center" readingOrder="0"/>
    </xf>
    <xf borderId="0" fillId="6" fontId="12" numFmtId="164" xfId="0" applyAlignment="1" applyFill="1" applyFont="1" applyNumberFormat="1">
      <alignment horizontal="center" vertical="bottom"/>
    </xf>
    <xf borderId="0" fillId="6" fontId="2" numFmtId="0" xfId="0" applyFont="1"/>
    <xf borderId="6" fillId="6" fontId="2" numFmtId="0" xfId="0" applyBorder="1" applyFont="1"/>
    <xf borderId="5" fillId="5" fontId="1" numFmtId="0" xfId="0" applyAlignment="1" applyBorder="1" applyFont="1">
      <alignment horizontal="left" readingOrder="0" shrinkToFit="0" vertical="bottom" wrapText="1"/>
    </xf>
    <xf borderId="0" fillId="5" fontId="4" numFmtId="164" xfId="0" applyAlignment="1" applyFont="1" applyNumberFormat="1">
      <alignment horizontal="center" vertical="bottom"/>
    </xf>
    <xf borderId="0" fillId="5" fontId="2" numFmtId="9" xfId="0" applyAlignment="1" applyFont="1" applyNumberFormat="1">
      <alignment horizontal="center" readingOrder="0"/>
    </xf>
    <xf borderId="0" fillId="5" fontId="2" numFmtId="164" xfId="0" applyAlignment="1" applyFont="1" applyNumberFormat="1">
      <alignment horizontal="center"/>
    </xf>
    <xf borderId="6" fillId="5" fontId="2" numFmtId="164" xfId="0" applyAlignment="1" applyBorder="1" applyFont="1" applyNumberFormat="1">
      <alignment horizontal="center"/>
    </xf>
    <xf borderId="0" fillId="5" fontId="4" numFmtId="164" xfId="0" applyAlignment="1" applyFont="1" applyNumberFormat="1">
      <alignment horizontal="center" readingOrder="0" vertical="bottom"/>
    </xf>
    <xf borderId="0" fillId="7" fontId="4" numFmtId="164" xfId="0" applyAlignment="1" applyFill="1" applyFont="1" applyNumberFormat="1">
      <alignment horizontal="center" readingOrder="0" vertical="bottom"/>
    </xf>
    <xf borderId="6" fillId="2" fontId="2" numFmtId="0" xfId="0" applyBorder="1" applyFont="1"/>
    <xf borderId="0" fillId="2" fontId="4" numFmtId="164" xfId="0" applyAlignment="1" applyFont="1" applyNumberFormat="1">
      <alignment horizontal="center" vertical="bottom"/>
    </xf>
    <xf borderId="6" fillId="8" fontId="2" numFmtId="0" xfId="0" applyBorder="1" applyFill="1" applyFont="1"/>
    <xf borderId="0" fillId="5" fontId="2" numFmtId="164" xfId="0" applyAlignment="1" applyFont="1" applyNumberFormat="1">
      <alignment horizontal="center" readingOrder="0"/>
    </xf>
    <xf borderId="0" fillId="5" fontId="4" numFmtId="164" xfId="0" applyAlignment="1" applyFont="1" applyNumberFormat="1">
      <alignment horizontal="left" readingOrder="0" vertical="bottom"/>
    </xf>
    <xf borderId="0" fillId="6" fontId="4" numFmtId="164" xfId="0" applyAlignment="1" applyFont="1" applyNumberFormat="1">
      <alignment horizontal="center" vertical="bottom"/>
    </xf>
    <xf quotePrefix="1" borderId="5" fillId="5" fontId="1" numFmtId="0" xfId="0" applyAlignment="1" applyBorder="1" applyFont="1">
      <alignment horizontal="left" readingOrder="0" shrinkToFit="0" vertical="bottom" wrapText="0"/>
    </xf>
    <xf borderId="0" fillId="5" fontId="13" numFmtId="164" xfId="0" applyAlignment="1" applyFont="1" applyNumberFormat="1">
      <alignment horizontal="center"/>
    </xf>
    <xf borderId="7" fillId="2" fontId="1" numFmtId="0" xfId="0" applyAlignment="1" applyBorder="1" applyFont="1">
      <alignment horizontal="left" shrinkToFit="0" vertical="bottom" wrapText="1"/>
    </xf>
    <xf borderId="8" fillId="2" fontId="1" numFmtId="0" xfId="0" applyAlignment="1" applyBorder="1" applyFont="1">
      <alignment horizontal="left" shrinkToFit="0" vertical="bottom" wrapText="1"/>
    </xf>
    <xf borderId="8" fillId="2" fontId="2" numFmtId="0" xfId="0" applyBorder="1" applyFont="1"/>
    <xf borderId="9" fillId="2" fontId="1" numFmtId="0" xfId="0" applyAlignment="1" applyBorder="1" applyFont="1">
      <alignment horizontal="left" shrinkToFit="0" vertical="bottom" wrapText="1"/>
    </xf>
    <xf borderId="0" fillId="5" fontId="2" numFmtId="164" xfId="0" applyAlignment="1" applyFont="1" applyNumberFormat="1">
      <alignment horizontal="center" readingOrder="0"/>
    </xf>
    <xf borderId="6" fillId="5" fontId="2" numFmtId="164" xfId="0" applyAlignment="1" applyBorder="1" applyFont="1" applyNumberFormat="1">
      <alignment horizontal="center" readingOrder="0"/>
    </xf>
    <xf borderId="0" fillId="8" fontId="2" numFmtId="164" xfId="0" applyAlignment="1" applyFont="1" applyNumberFormat="1">
      <alignment horizontal="center"/>
    </xf>
    <xf borderId="0" fillId="6" fontId="2" numFmtId="0" xfId="0" applyAlignment="1" applyFont="1">
      <alignment horizontal="center"/>
    </xf>
    <xf borderId="6" fillId="6" fontId="2" numFmtId="9" xfId="0" applyAlignment="1" applyBorder="1" applyFont="1" applyNumberFormat="1">
      <alignment horizontal="center" readingOrder="0"/>
    </xf>
    <xf borderId="0" fillId="5" fontId="2" numFmtId="164" xfId="0" applyAlignment="1" applyFont="1" applyNumberFormat="1">
      <alignment horizontal="left" readingOrder="0"/>
    </xf>
    <xf borderId="0" fillId="9" fontId="4" numFmtId="164" xfId="0" applyAlignment="1" applyFill="1" applyFont="1" applyNumberFormat="1">
      <alignment horizontal="center" vertical="bottom"/>
    </xf>
    <xf borderId="0" fillId="2" fontId="2" numFmtId="0" xfId="0" applyAlignment="1" applyFont="1">
      <alignment horizontal="center"/>
    </xf>
    <xf borderId="0" fillId="7" fontId="4" numFmtId="164" xfId="0" applyAlignment="1" applyFont="1" applyNumberFormat="1">
      <alignment horizontal="center" vertical="bottom"/>
    </xf>
    <xf borderId="6" fillId="6" fontId="2" numFmtId="0" xfId="0" applyAlignment="1" applyBorder="1" applyFont="1">
      <alignment horizontal="center"/>
    </xf>
    <xf borderId="6" fillId="8" fontId="2" numFmtId="0" xfId="0" applyAlignment="1" applyBorder="1" applyFont="1">
      <alignment horizontal="center"/>
    </xf>
    <xf borderId="6" fillId="2" fontId="2" numFmtId="0" xfId="0" applyAlignment="1" applyBorder="1" applyFont="1">
      <alignment horizontal="center"/>
    </xf>
    <xf borderId="7" fillId="6" fontId="1" numFmtId="0" xfId="0" applyAlignment="1" applyBorder="1" applyFont="1">
      <alignment horizontal="left" shrinkToFit="0" vertical="bottom" wrapText="1"/>
    </xf>
    <xf borderId="8" fillId="6" fontId="1" numFmtId="0" xfId="0" applyAlignment="1" applyBorder="1" applyFont="1">
      <alignment horizontal="left" shrinkToFit="0" vertical="bottom" wrapText="1"/>
    </xf>
    <xf borderId="8" fillId="6" fontId="2" numFmtId="0" xfId="0" applyBorder="1" applyFont="1"/>
    <xf borderId="9" fillId="6" fontId="1" numFmtId="0" xfId="0" applyAlignment="1" applyBorder="1" applyFont="1">
      <alignment horizontal="left" shrinkToFit="0" vertical="bottom" wrapText="1"/>
    </xf>
    <xf borderId="3" fillId="2" fontId="2" numFmtId="0" xfId="0" applyBorder="1" applyFont="1"/>
    <xf borderId="0" fillId="5" fontId="2" numFmtId="164" xfId="0" applyAlignment="1" applyFont="1" applyNumberFormat="1">
      <alignment readingOrder="0"/>
    </xf>
    <xf borderId="6" fillId="5" fontId="2" numFmtId="164" xfId="0" applyAlignment="1" applyBorder="1" applyFont="1" applyNumberFormat="1">
      <alignment horizontal="center"/>
    </xf>
    <xf borderId="0" fillId="5" fontId="2" numFmtId="164" xfId="0" applyAlignment="1" applyFont="1" applyNumberFormat="1">
      <alignment horizontal="center"/>
    </xf>
    <xf borderId="0" fillId="5" fontId="2" numFmtId="165" xfId="0" applyAlignment="1" applyFont="1" applyNumberFormat="1">
      <alignment horizontal="center" readingOrder="0"/>
    </xf>
    <xf borderId="0" fillId="7" fontId="2" numFmtId="164" xfId="0" applyAlignment="1" applyFont="1" applyNumberFormat="1">
      <alignment horizontal="center" readingOrder="0"/>
    </xf>
    <xf borderId="5" fillId="5" fontId="1" numFmtId="0" xfId="0" applyAlignment="1" applyBorder="1" applyFont="1">
      <alignment horizontal="left" readingOrder="0" shrinkToFit="0" vertical="bottom" wrapText="0"/>
    </xf>
    <xf borderId="0" fillId="5" fontId="13" numFmtId="164" xfId="0" applyAlignment="1" applyFont="1" applyNumberFormat="1">
      <alignment horizontal="center" readingOrder="0"/>
    </xf>
    <xf borderId="7" fillId="6" fontId="1" numFmtId="0" xfId="0" applyAlignment="1" applyBorder="1" applyFont="1">
      <alignment horizontal="left" vertical="bottom"/>
    </xf>
    <xf borderId="8" fillId="6" fontId="1" numFmtId="0" xfId="0" applyAlignment="1" applyBorder="1" applyFont="1">
      <alignment horizontal="left" vertical="bottom"/>
    </xf>
    <xf borderId="0" fillId="5" fontId="14" numFmtId="164" xfId="0" applyAlignment="1" applyFont="1" applyNumberFormat="1">
      <alignment horizontal="center" readingOrder="0"/>
    </xf>
    <xf borderId="5" fillId="5" fontId="15" numFmtId="0" xfId="0" applyAlignment="1" applyBorder="1" applyFont="1">
      <alignment horizontal="left" shrinkToFit="0" vertical="bottom" wrapText="1"/>
    </xf>
    <xf borderId="0" fillId="5" fontId="16" numFmtId="164" xfId="0" applyAlignment="1" applyFont="1" applyNumberFormat="1">
      <alignment horizontal="center" vertical="bottom"/>
    </xf>
    <xf borderId="0" fillId="7" fontId="16" numFmtId="164" xfId="0" applyAlignment="1" applyFont="1" applyNumberFormat="1">
      <alignment horizontal="center" vertical="bottom"/>
    </xf>
    <xf borderId="5" fillId="5" fontId="5" numFmtId="0" xfId="0" applyAlignment="1" applyBorder="1" applyFont="1">
      <alignment horizontal="left"/>
    </xf>
    <xf borderId="0" fillId="5" fontId="9" numFmtId="164" xfId="0" applyAlignment="1" applyFont="1" applyNumberFormat="1">
      <alignment horizontal="center" vertical="bottom"/>
    </xf>
    <xf borderId="0" fillId="9" fontId="9" numFmtId="164" xfId="0" applyAlignment="1" applyFont="1" applyNumberFormat="1">
      <alignment horizontal="center" vertical="bottom"/>
    </xf>
    <xf borderId="0" fillId="6" fontId="7" numFmtId="164" xfId="0" applyAlignment="1" applyFont="1" applyNumberFormat="1">
      <alignment horizontal="center" readingOrder="0" shrinkToFit="0" vertical="bottom" wrapText="1"/>
    </xf>
    <xf borderId="0" fillId="5" fontId="4" numFmtId="164" xfId="0" applyAlignment="1" applyFont="1" applyNumberFormat="1">
      <alignment horizontal="center" shrinkToFit="0" vertical="bottom" wrapText="0"/>
    </xf>
    <xf borderId="0" fillId="5" fontId="2" numFmtId="0" xfId="0" applyAlignment="1" applyFont="1">
      <alignment shrinkToFit="0" wrapText="0"/>
    </xf>
    <xf borderId="0" fillId="5" fontId="2" numFmtId="164" xfId="0" applyAlignment="1" applyFont="1" applyNumberFormat="1">
      <alignment horizontal="center" readingOrder="0" shrinkToFit="0" wrapText="0"/>
    </xf>
    <xf borderId="6" fillId="5" fontId="2" numFmtId="0" xfId="0" applyAlignment="1" applyBorder="1" applyFont="1">
      <alignment shrinkToFit="0" wrapText="0"/>
    </xf>
    <xf borderId="0" fillId="5" fontId="2" numFmtId="9" xfId="0" applyAlignment="1" applyFont="1" applyNumberFormat="1">
      <alignment horizontal="center" readingOrder="0" shrinkToFit="0" wrapText="0"/>
    </xf>
    <xf borderId="0" fillId="5" fontId="2" numFmtId="0" xfId="0" applyAlignment="1" applyFont="1">
      <alignment horizontal="center" shrinkToFit="0" wrapText="0"/>
    </xf>
    <xf borderId="6" fillId="5" fontId="2" numFmtId="0" xfId="0" applyAlignment="1" applyBorder="1" applyFont="1">
      <alignment horizontal="center" shrinkToFit="0" wrapText="0"/>
    </xf>
    <xf borderId="6" fillId="5" fontId="2" numFmtId="164" xfId="0" applyAlignment="1" applyBorder="1" applyFont="1" applyNumberFormat="1">
      <alignment horizontal="center" shrinkToFit="0" wrapText="0"/>
    </xf>
    <xf borderId="0" fillId="5" fontId="13" numFmtId="164" xfId="0" applyAlignment="1" applyFont="1" applyNumberFormat="1">
      <alignment horizontal="center" readingOrder="0" shrinkToFit="0" wrapText="0"/>
    </xf>
    <xf borderId="0" fillId="5" fontId="4" numFmtId="164" xfId="0" applyAlignment="1" applyFont="1" applyNumberFormat="1">
      <alignment horizontal="left" readingOrder="0" shrinkToFit="0" vertical="bottom" wrapText="0"/>
    </xf>
    <xf borderId="0" fillId="7" fontId="4" numFmtId="164" xfId="0" applyAlignment="1" applyFont="1" applyNumberFormat="1">
      <alignment horizontal="center" readingOrder="0" shrinkToFit="0" vertical="bottom" wrapText="0"/>
    </xf>
    <xf borderId="0" fillId="6" fontId="2" numFmtId="0" xfId="0" applyAlignment="1" applyFont="1">
      <alignment horizontal="center" shrinkToFit="0" wrapText="0"/>
    </xf>
    <xf borderId="6" fillId="6" fontId="2" numFmtId="0" xfId="0" applyAlignment="1" applyBorder="1" applyFont="1">
      <alignment horizontal="center" shrinkToFit="0" wrapText="0"/>
    </xf>
    <xf borderId="5" fillId="5" fontId="5" numFmtId="0" xfId="0" applyAlignment="1" applyBorder="1" applyFont="1">
      <alignment horizontal="left" vertical="bottom"/>
    </xf>
    <xf borderId="0" fillId="5" fontId="9" numFmtId="164" xfId="0" applyAlignment="1" applyFont="1" applyNumberFormat="1">
      <alignment horizontal="left" readingOrder="0" vertical="bottom"/>
    </xf>
    <xf borderId="0" fillId="2" fontId="9" numFmtId="164" xfId="0" applyAlignment="1" applyFont="1" applyNumberFormat="1">
      <alignment horizontal="center" vertical="bottom"/>
    </xf>
    <xf borderId="0" fillId="5" fontId="4" numFmtId="164" xfId="0" applyAlignment="1" applyFont="1" applyNumberFormat="1">
      <alignment horizontal="left" readingOrder="0" shrinkToFit="0" vertical="bottom" wrapText="1"/>
    </xf>
    <xf borderId="0" fillId="10" fontId="4" numFmtId="164" xfId="0" applyAlignment="1" applyFill="1" applyFont="1" applyNumberFormat="1">
      <alignment horizontal="center" vertical="bottom"/>
    </xf>
    <xf borderId="5" fillId="5" fontId="5" numFmtId="0" xfId="0" applyAlignment="1" applyBorder="1" applyFont="1">
      <alignment horizontal="left" shrinkToFit="0" vertical="bottom" wrapText="1"/>
    </xf>
    <xf borderId="0" fillId="6" fontId="9" numFmtId="164" xfId="0" applyAlignment="1" applyFont="1" applyNumberFormat="1">
      <alignment horizontal="center" vertical="bottom"/>
    </xf>
    <xf borderId="7" fillId="6" fontId="5" numFmtId="0" xfId="0" applyAlignment="1" applyBorder="1" applyFont="1">
      <alignment horizontal="left" shrinkToFit="0" vertical="bottom" wrapText="1"/>
    </xf>
    <xf borderId="8" fillId="6" fontId="5" numFmtId="0" xfId="0" applyAlignment="1" applyBorder="1" applyFont="1">
      <alignment horizontal="left" shrinkToFit="0" vertical="bottom" wrapText="1"/>
    </xf>
    <xf borderId="5" fillId="2" fontId="1" numFmtId="0" xfId="0" applyAlignment="1" applyBorder="1" applyFont="1">
      <alignment horizontal="left" shrinkToFit="0" vertical="bottom" wrapText="1"/>
    </xf>
    <xf borderId="0" fillId="2" fontId="2" numFmtId="9" xfId="0" applyAlignment="1" applyFont="1" applyNumberFormat="1">
      <alignment horizontal="center" readingOrder="0"/>
    </xf>
    <xf borderId="0" fillId="2" fontId="2" numFmtId="164" xfId="0" applyAlignment="1" applyFont="1" applyNumberFormat="1">
      <alignment horizontal="center"/>
    </xf>
    <xf borderId="6" fillId="2" fontId="2" numFmtId="164" xfId="0" applyAlignment="1" applyBorder="1" applyFont="1" applyNumberFormat="1">
      <alignment horizontal="center"/>
    </xf>
    <xf borderId="0" fillId="2" fontId="4" numFmtId="164" xfId="0" applyAlignment="1" applyFont="1" applyNumberFormat="1">
      <alignment horizontal="center" readingOrder="0" vertical="bottom"/>
    </xf>
    <xf borderId="3" fillId="6" fontId="2" numFmtId="0" xfId="0" applyBorder="1" applyFont="1"/>
    <xf borderId="0" fillId="2" fontId="2" numFmtId="164" xfId="0" applyAlignment="1" applyFont="1" applyNumberFormat="1">
      <alignment horizontal="center" readingOrder="0"/>
    </xf>
    <xf borderId="6" fillId="2" fontId="2" numFmtId="164" xfId="0" applyAlignment="1" applyBorder="1" applyFont="1" applyNumberFormat="1">
      <alignment horizontal="center"/>
    </xf>
    <xf borderId="5" fillId="6" fontId="1" numFmtId="0" xfId="0" applyAlignment="1" applyBorder="1" applyFont="1">
      <alignment horizontal="left" shrinkToFit="0" vertical="bottom" wrapText="1"/>
    </xf>
    <xf borderId="0" fillId="6" fontId="2" numFmtId="9" xfId="0" applyAlignment="1" applyFont="1" applyNumberFormat="1">
      <alignment horizontal="center" readingOrder="0"/>
    </xf>
    <xf borderId="0" fillId="6" fontId="2" numFmtId="164" xfId="0" applyAlignment="1" applyFont="1" applyNumberFormat="1">
      <alignment horizontal="center"/>
    </xf>
    <xf borderId="6" fillId="6" fontId="2" numFmtId="164" xfId="0" applyAlignment="1" applyBorder="1" applyFont="1" applyNumberFormat="1">
      <alignment horizontal="center"/>
    </xf>
    <xf borderId="0" fillId="2" fontId="2" numFmtId="164" xfId="0" applyAlignment="1" applyFont="1" applyNumberFormat="1">
      <alignment horizontal="center" readingOrder="0"/>
    </xf>
    <xf borderId="0" fillId="6" fontId="17" numFmtId="164" xfId="0" applyAlignment="1" applyFont="1" applyNumberFormat="1">
      <alignment horizontal="center" vertical="bottom"/>
    </xf>
    <xf borderId="0" fillId="6" fontId="4" numFmtId="164" xfId="0" applyAlignment="1" applyFont="1" applyNumberFormat="1">
      <alignment horizontal="left" readingOrder="0" vertical="bottom"/>
    </xf>
    <xf borderId="0" fillId="10" fontId="2" numFmtId="164" xfId="0" applyAlignment="1" applyFont="1" applyNumberFormat="1">
      <alignment horizontal="center" readingOrder="0"/>
    </xf>
    <xf borderId="6" fillId="6" fontId="2" numFmtId="164" xfId="0" applyAlignment="1" applyBorder="1" applyFont="1" applyNumberFormat="1">
      <alignment horizontal="center"/>
    </xf>
    <xf borderId="5" fillId="10" fontId="1" numFmtId="0" xfId="0" applyAlignment="1" applyBorder="1" applyFont="1">
      <alignment horizontal="left" readingOrder="0" shrinkToFit="0" vertical="bottom" wrapText="1"/>
    </xf>
    <xf borderId="0" fillId="2" fontId="4" numFmtId="164" xfId="0" applyAlignment="1" applyFont="1" applyNumberFormat="1">
      <alignment horizontal="center" shrinkToFit="0" vertical="bottom" wrapText="1"/>
    </xf>
    <xf borderId="5" fillId="7" fontId="1" numFmtId="0" xfId="0" applyAlignment="1" applyBorder="1" applyFont="1">
      <alignment horizontal="left" readingOrder="0" shrinkToFit="0" vertical="bottom" wrapText="1"/>
    </xf>
    <xf borderId="0" fillId="6" fontId="4" numFmtId="164" xfId="0" applyAlignment="1" applyFont="1" applyNumberFormat="1">
      <alignment horizontal="center" shrinkToFit="0" vertical="bottom" wrapText="1"/>
    </xf>
    <xf borderId="0" fillId="7" fontId="4" numFmtId="164" xfId="0" applyAlignment="1" applyFont="1" applyNumberFormat="1">
      <alignment horizontal="center" readingOrder="0" shrinkToFit="0" vertical="bottom" wrapText="1"/>
    </xf>
    <xf borderId="0" fillId="6" fontId="2" numFmtId="164" xfId="0" applyAlignment="1" applyFont="1" applyNumberFormat="1">
      <alignment horizontal="center" readingOrder="0"/>
    </xf>
    <xf borderId="0" fillId="6" fontId="2" numFmtId="164" xfId="0" applyAlignment="1" applyFont="1" applyNumberFormat="1">
      <alignment horizontal="center" readingOrder="0"/>
    </xf>
    <xf borderId="5" fillId="2" fontId="1" numFmtId="0" xfId="0" applyAlignment="1" applyBorder="1" applyFont="1">
      <alignment horizontal="left" readingOrder="0" shrinkToFit="0" vertical="bottom" wrapText="1"/>
    </xf>
    <xf borderId="5" fillId="6" fontId="1" numFmtId="0" xfId="0" applyAlignment="1" applyBorder="1" applyFont="1">
      <alignment horizontal="left" readingOrder="0" shrinkToFit="0" vertical="bottom" wrapText="0"/>
    </xf>
    <xf borderId="0" fillId="6" fontId="2" numFmtId="0" xfId="0" applyAlignment="1" applyFont="1">
      <alignment horizontal="left" readingOrder="0"/>
    </xf>
    <xf borderId="5" fillId="2" fontId="1" numFmtId="0" xfId="0" applyAlignment="1" applyBorder="1" applyFont="1">
      <alignment horizontal="left" shrinkToFit="0" vertical="bottom" wrapText="0"/>
    </xf>
    <xf borderId="5" fillId="6" fontId="1" numFmtId="0" xfId="0" applyAlignment="1" applyBorder="1" applyFont="1">
      <alignment horizontal="left" shrinkToFit="0" vertical="bottom" wrapText="0"/>
    </xf>
    <xf borderId="5" fillId="2" fontId="5" numFmtId="0" xfId="0" applyAlignment="1" applyBorder="1" applyFont="1">
      <alignment horizontal="left" shrinkToFit="0" vertical="bottom" wrapText="0"/>
    </xf>
    <xf borderId="5" fillId="6" fontId="5" numFmtId="0" xfId="0" applyAlignment="1" applyBorder="1" applyFont="1">
      <alignment horizontal="left" shrinkToFit="0" vertical="bottom" wrapText="0"/>
    </xf>
    <xf borderId="5" fillId="2" fontId="18" numFmtId="0" xfId="0" applyAlignment="1" applyBorder="1" applyFont="1">
      <alignment horizontal="left" readingOrder="0" shrinkToFit="0" vertical="bottom" wrapText="0"/>
    </xf>
    <xf borderId="0" fillId="2" fontId="18" numFmtId="164" xfId="0" applyAlignment="1" applyFont="1" applyNumberFormat="1">
      <alignment horizontal="center" vertical="bottom"/>
    </xf>
    <xf borderId="0" fillId="2" fontId="19" numFmtId="0" xfId="0" applyFont="1"/>
    <xf borderId="6" fillId="2" fontId="19" numFmtId="0" xfId="0" applyBorder="1" applyFont="1"/>
    <xf borderId="0" fillId="2" fontId="19" numFmtId="9" xfId="0" applyAlignment="1" applyFont="1" applyNumberFormat="1">
      <alignment horizontal="center" readingOrder="0"/>
    </xf>
    <xf borderId="0" fillId="2" fontId="19" numFmtId="0" xfId="0" applyAlignment="1" applyFont="1">
      <alignment horizontal="center"/>
    </xf>
    <xf borderId="6" fillId="2" fontId="19" numFmtId="0" xfId="0" applyAlignment="1" applyBorder="1" applyFont="1">
      <alignment horizontal="center"/>
    </xf>
    <xf borderId="0" fillId="2" fontId="19" numFmtId="164" xfId="0" applyAlignment="1" applyFont="1" applyNumberFormat="1">
      <alignment horizontal="center" readingOrder="0"/>
    </xf>
    <xf borderId="0" fillId="2" fontId="13" numFmtId="0" xfId="0" applyAlignment="1" applyFont="1">
      <alignment horizontal="left" readingOrder="0"/>
    </xf>
    <xf borderId="0" fillId="2" fontId="13" numFmtId="164" xfId="0" applyAlignment="1" applyFont="1" applyNumberFormat="1">
      <alignment horizontal="center" readingOrder="0"/>
    </xf>
    <xf borderId="5" fillId="6" fontId="18" numFmtId="0" xfId="0" applyAlignment="1" applyBorder="1" applyFont="1">
      <alignment horizontal="left" readingOrder="0" shrinkToFit="0" vertical="bottom" wrapText="0"/>
    </xf>
    <xf borderId="0" fillId="6" fontId="18" numFmtId="164" xfId="0" applyAlignment="1" applyFont="1" applyNumberFormat="1">
      <alignment horizontal="center" vertical="bottom"/>
    </xf>
    <xf borderId="0" fillId="6" fontId="19" numFmtId="0" xfId="0" applyFont="1"/>
    <xf borderId="6" fillId="6" fontId="19" numFmtId="0" xfId="0" applyBorder="1" applyFont="1"/>
    <xf borderId="0" fillId="6" fontId="19" numFmtId="9" xfId="0" applyAlignment="1" applyFont="1" applyNumberFormat="1">
      <alignment horizontal="center" readingOrder="0"/>
    </xf>
    <xf borderId="0" fillId="6" fontId="19" numFmtId="0" xfId="0" applyAlignment="1" applyFont="1">
      <alignment horizontal="center"/>
    </xf>
    <xf borderId="6" fillId="6" fontId="19" numFmtId="0" xfId="0" applyAlignment="1" applyBorder="1" applyFont="1">
      <alignment horizontal="center"/>
    </xf>
    <xf borderId="0" fillId="6" fontId="19" numFmtId="164" xfId="0" applyAlignment="1" applyFont="1" applyNumberFormat="1">
      <alignment horizontal="center" readingOrder="0"/>
    </xf>
    <xf borderId="0" fillId="6" fontId="13" numFmtId="0" xfId="0" applyAlignment="1" applyFont="1">
      <alignment horizontal="left" readingOrder="0"/>
    </xf>
    <xf borderId="0" fillId="6" fontId="13" numFmtId="164" xfId="0" applyAlignment="1" applyFont="1" applyNumberFormat="1">
      <alignment horizontal="center" readingOrder="0"/>
    </xf>
    <xf borderId="5" fillId="2" fontId="17" numFmtId="0" xfId="0" applyAlignment="1" applyBorder="1" applyFont="1">
      <alignment horizontal="left" readingOrder="0" shrinkToFit="0" vertical="bottom" wrapText="0"/>
    </xf>
    <xf borderId="5" fillId="6" fontId="17" numFmtId="0" xfId="0" applyAlignment="1" applyBorder="1" applyFont="1">
      <alignment horizontal="left" readingOrder="0" shrinkToFit="0" vertical="bottom" wrapText="0"/>
    </xf>
    <xf borderId="2" fillId="6" fontId="1" numFmtId="0" xfId="0" applyAlignment="1" applyBorder="1" applyFont="1">
      <alignment horizontal="left" shrinkToFit="0" vertical="bottom" wrapText="1"/>
    </xf>
    <xf borderId="3" fillId="6" fontId="4" numFmtId="164" xfId="0" applyAlignment="1" applyBorder="1" applyFont="1" applyNumberFormat="1">
      <alignment horizontal="center" vertical="bottom"/>
    </xf>
    <xf borderId="0" fillId="6" fontId="2" numFmtId="0" xfId="0" applyAlignment="1" applyFont="1">
      <alignment readingOrder="0"/>
    </xf>
    <xf borderId="1" fillId="0" fontId="1" numFmtId="0" xfId="0" applyAlignment="1" applyBorder="1" applyFont="1">
      <alignment horizontal="center" vertical="center"/>
    </xf>
    <xf borderId="1" fillId="0" fontId="1" numFmtId="164" xfId="0" applyAlignment="1" applyBorder="1" applyFont="1" applyNumberFormat="1">
      <alignment horizontal="center" vertical="center"/>
    </xf>
    <xf borderId="5" fillId="10" fontId="1" numFmtId="0" xfId="0" applyAlignment="1" applyBorder="1" applyFont="1">
      <alignment horizontal="center" shrinkToFit="0" vertical="center" wrapText="1"/>
    </xf>
    <xf borderId="0" fillId="10" fontId="4" numFmtId="0" xfId="0" applyAlignment="1" applyFont="1">
      <alignment shrinkToFit="0" vertical="center" wrapText="1"/>
    </xf>
    <xf borderId="0" fillId="10" fontId="4" numFmtId="1" xfId="0" applyAlignment="1" applyFont="1" applyNumberFormat="1">
      <alignment horizontal="center" shrinkToFit="0" vertical="center" wrapText="1"/>
    </xf>
    <xf borderId="0" fillId="10" fontId="2" numFmtId="164" xfId="0" applyAlignment="1" applyFont="1" applyNumberFormat="1">
      <alignment horizontal="center" readingOrder="0" vertical="center"/>
    </xf>
    <xf borderId="6" fillId="10" fontId="2" numFmtId="0" xfId="0" applyAlignment="1" applyBorder="1" applyFont="1">
      <alignment horizontal="center" vertical="center"/>
    </xf>
    <xf borderId="5" fillId="10" fontId="5" numFmtId="0" xfId="0" applyAlignment="1" applyBorder="1" applyFont="1">
      <alignment horizontal="center" vertical="center"/>
    </xf>
    <xf borderId="0" fillId="10" fontId="9" numFmtId="0" xfId="0" applyAlignment="1" applyFont="1">
      <alignment shrinkToFit="0" vertical="center" wrapText="1"/>
    </xf>
    <xf borderId="0" fillId="10" fontId="9" numFmtId="1" xfId="0" applyAlignment="1" applyFont="1" applyNumberFormat="1">
      <alignment horizontal="center" vertical="center"/>
    </xf>
    <xf borderId="5" fillId="10" fontId="5" numFmtId="0" xfId="0" applyAlignment="1" applyBorder="1" applyFont="1">
      <alignment horizontal="center" shrinkToFit="0" vertical="center" wrapText="1"/>
    </xf>
    <xf borderId="0" fillId="10" fontId="9" numFmtId="0" xfId="0" applyAlignment="1" applyFont="1">
      <alignment vertical="center"/>
    </xf>
    <xf borderId="0" fillId="0" fontId="2"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0.5"/>
    <col customWidth="1" min="2" max="2" width="29.0"/>
  </cols>
  <sheetData>
    <row r="1">
      <c r="A1" s="1" t="s">
        <v>0</v>
      </c>
      <c r="B1" s="2"/>
      <c r="C1" s="2"/>
      <c r="D1" s="3"/>
      <c r="E1" s="4"/>
    </row>
    <row r="2">
      <c r="A2" s="5" t="s">
        <v>1</v>
      </c>
      <c r="B2" s="5" t="s">
        <v>2</v>
      </c>
      <c r="C2" s="5" t="s">
        <v>3</v>
      </c>
      <c r="D2" s="6" t="s">
        <v>4</v>
      </c>
      <c r="E2" s="5" t="s">
        <v>5</v>
      </c>
      <c r="F2" s="7">
        <f>SUM(E4:E918)</f>
        <v>2780.0572</v>
      </c>
    </row>
    <row r="3">
      <c r="A3" s="8" t="s">
        <v>6</v>
      </c>
      <c r="B3" s="9"/>
      <c r="C3" s="9"/>
      <c r="D3" s="9"/>
      <c r="E3" s="10"/>
    </row>
    <row r="4">
      <c r="A4" s="11" t="s">
        <v>7</v>
      </c>
      <c r="B4" s="12" t="s">
        <v>8</v>
      </c>
      <c r="C4" s="13">
        <v>1.0</v>
      </c>
      <c r="D4" s="14">
        <f>99.95*1.03</f>
        <v>102.9485</v>
      </c>
      <c r="E4" s="15">
        <f t="shared" ref="E4:E5" si="1">D4*C4</f>
        <v>102.9485</v>
      </c>
    </row>
    <row r="5">
      <c r="A5" s="11" t="s">
        <v>9</v>
      </c>
      <c r="B5" s="12" t="s">
        <v>10</v>
      </c>
      <c r="C5" s="13">
        <v>1.0</v>
      </c>
      <c r="D5" s="14">
        <f>149.95*1.03</f>
        <v>154.4485</v>
      </c>
      <c r="E5" s="15">
        <f t="shared" si="1"/>
        <v>154.4485</v>
      </c>
    </row>
    <row r="6">
      <c r="A6" s="16" t="s">
        <v>11</v>
      </c>
      <c r="B6" s="17"/>
      <c r="C6" s="17"/>
      <c r="D6" s="17"/>
      <c r="E6" s="18"/>
    </row>
    <row r="7">
      <c r="A7" s="11" t="s">
        <v>12</v>
      </c>
      <c r="B7" s="12" t="s">
        <v>13</v>
      </c>
      <c r="C7" s="19">
        <v>6.0</v>
      </c>
      <c r="D7" s="14">
        <f>117.99*1.03</f>
        <v>121.5297</v>
      </c>
      <c r="E7" s="15">
        <f t="shared" ref="E7:E8" si="2">D7*C7</f>
        <v>729.1782</v>
      </c>
      <c r="G7" s="7">
        <f>D7*0.9</f>
        <v>109.37673</v>
      </c>
      <c r="H7" s="20">
        <f>117.99*2</f>
        <v>235.98</v>
      </c>
    </row>
    <row r="8">
      <c r="A8" s="11" t="s">
        <v>14</v>
      </c>
      <c r="B8" s="12" t="s">
        <v>15</v>
      </c>
      <c r="C8" s="19">
        <v>1.0</v>
      </c>
      <c r="D8" s="14">
        <f>825*1.03</f>
        <v>849.75</v>
      </c>
      <c r="E8" s="15">
        <f t="shared" si="2"/>
        <v>849.75</v>
      </c>
    </row>
    <row r="9">
      <c r="A9" s="16" t="s">
        <v>16</v>
      </c>
      <c r="B9" s="17"/>
      <c r="C9" s="17"/>
      <c r="D9" s="17"/>
      <c r="E9" s="18"/>
    </row>
    <row r="10">
      <c r="A10" s="16" t="s">
        <v>17</v>
      </c>
      <c r="B10" s="17"/>
      <c r="C10" s="17"/>
      <c r="D10" s="17"/>
      <c r="E10" s="18"/>
    </row>
    <row r="11">
      <c r="A11" s="11" t="s">
        <v>18</v>
      </c>
      <c r="B11" s="12" t="s">
        <v>19</v>
      </c>
      <c r="C11" s="19">
        <v>1.0</v>
      </c>
      <c r="D11" s="14">
        <f>395*1.03</f>
        <v>406.85</v>
      </c>
      <c r="E11" s="15">
        <f t="shared" ref="E11:E12" si="3">D11*C11</f>
        <v>406.85</v>
      </c>
    </row>
    <row r="12">
      <c r="A12" s="11" t="s">
        <v>20</v>
      </c>
      <c r="B12" s="12" t="s">
        <v>21</v>
      </c>
      <c r="C12" s="19">
        <v>1.0</v>
      </c>
      <c r="D12" s="14">
        <f>495*1.03</f>
        <v>509.85</v>
      </c>
      <c r="E12" s="15">
        <f t="shared" si="3"/>
        <v>509.85</v>
      </c>
    </row>
    <row r="13">
      <c r="A13" s="21" t="s">
        <v>22</v>
      </c>
      <c r="B13" s="17"/>
      <c r="C13" s="17"/>
      <c r="D13" s="17"/>
      <c r="E13" s="18"/>
    </row>
    <row r="14">
      <c r="A14" s="11" t="s">
        <v>23</v>
      </c>
      <c r="B14" s="12" t="s">
        <v>24</v>
      </c>
      <c r="C14" s="19">
        <v>1.0</v>
      </c>
      <c r="D14" s="14">
        <v>99.95</v>
      </c>
      <c r="E14" s="15">
        <f>D14*C14</f>
        <v>99.95</v>
      </c>
    </row>
    <row r="15">
      <c r="A15" s="16" t="s">
        <v>25</v>
      </c>
      <c r="B15" s="17"/>
      <c r="C15" s="17"/>
      <c r="D15" s="17"/>
      <c r="E15" s="18"/>
    </row>
    <row r="16">
      <c r="A16" s="8" t="s">
        <v>26</v>
      </c>
      <c r="B16" s="22" t="s">
        <v>27</v>
      </c>
      <c r="C16" s="23">
        <f>C7</f>
        <v>6</v>
      </c>
      <c r="D16" s="24">
        <f>-0.1*121.53</f>
        <v>-12.153</v>
      </c>
      <c r="E16" s="25">
        <f>D16*C16</f>
        <v>-72.918</v>
      </c>
    </row>
    <row r="17">
      <c r="D17" s="7"/>
    </row>
    <row r="18">
      <c r="D18" s="7"/>
    </row>
    <row r="19">
      <c r="D19" s="7"/>
    </row>
    <row r="20">
      <c r="D20" s="7"/>
    </row>
    <row r="21">
      <c r="D21" s="7"/>
    </row>
    <row r="22">
      <c r="D22" s="7"/>
    </row>
    <row r="23">
      <c r="D23" s="7"/>
    </row>
    <row r="24">
      <c r="D24" s="7"/>
    </row>
    <row r="25">
      <c r="D25" s="7"/>
    </row>
    <row r="26">
      <c r="D26" s="7"/>
    </row>
    <row r="27">
      <c r="D27" s="7"/>
    </row>
    <row r="28">
      <c r="D28" s="7"/>
    </row>
    <row r="29">
      <c r="D29" s="7"/>
    </row>
    <row r="30">
      <c r="D30" s="7"/>
    </row>
    <row r="31">
      <c r="D31" s="7"/>
    </row>
    <row r="32">
      <c r="D32" s="7"/>
    </row>
    <row r="33">
      <c r="D33" s="7"/>
    </row>
    <row r="34">
      <c r="D34" s="7"/>
    </row>
    <row r="35">
      <c r="D35" s="7"/>
    </row>
    <row r="36">
      <c r="D36" s="7"/>
    </row>
    <row r="37">
      <c r="D37" s="7"/>
    </row>
    <row r="38">
      <c r="D38" s="7"/>
    </row>
    <row r="39">
      <c r="D39" s="7"/>
    </row>
    <row r="40">
      <c r="D40" s="7"/>
    </row>
    <row r="41">
      <c r="D41" s="7"/>
    </row>
    <row r="42">
      <c r="D42" s="7"/>
    </row>
    <row r="43">
      <c r="D43" s="7"/>
    </row>
    <row r="44">
      <c r="D44" s="7"/>
    </row>
    <row r="45">
      <c r="D45" s="7"/>
    </row>
    <row r="46">
      <c r="D46" s="7"/>
    </row>
    <row r="47">
      <c r="D47" s="7"/>
    </row>
    <row r="48">
      <c r="D48" s="7"/>
    </row>
    <row r="49">
      <c r="D49" s="7"/>
    </row>
    <row r="50">
      <c r="D50" s="7"/>
    </row>
    <row r="51">
      <c r="D51" s="7"/>
    </row>
    <row r="52">
      <c r="D52" s="7"/>
    </row>
    <row r="53">
      <c r="D53" s="7"/>
    </row>
    <row r="54">
      <c r="D54" s="7"/>
    </row>
    <row r="55">
      <c r="D55" s="7"/>
    </row>
    <row r="56">
      <c r="D56" s="7"/>
    </row>
    <row r="57">
      <c r="D57" s="7"/>
    </row>
    <row r="58">
      <c r="D58" s="7"/>
    </row>
    <row r="59">
      <c r="D59" s="7"/>
    </row>
    <row r="60">
      <c r="D60" s="7"/>
    </row>
    <row r="61">
      <c r="D61" s="7"/>
    </row>
    <row r="62">
      <c r="D62" s="7"/>
    </row>
    <row r="63">
      <c r="D63" s="7"/>
    </row>
    <row r="64">
      <c r="D64" s="7"/>
    </row>
    <row r="65">
      <c r="D65" s="7"/>
    </row>
    <row r="66">
      <c r="D66" s="7"/>
    </row>
    <row r="67">
      <c r="D67" s="7"/>
    </row>
    <row r="68">
      <c r="D68" s="7"/>
    </row>
    <row r="69">
      <c r="D69" s="7"/>
    </row>
    <row r="70">
      <c r="D70" s="7"/>
    </row>
    <row r="71">
      <c r="D71" s="7"/>
    </row>
    <row r="72">
      <c r="D72" s="7"/>
    </row>
    <row r="73">
      <c r="D73" s="7"/>
    </row>
    <row r="74">
      <c r="D74" s="7"/>
    </row>
    <row r="75">
      <c r="D75" s="7"/>
    </row>
    <row r="76">
      <c r="D76" s="7"/>
    </row>
    <row r="77">
      <c r="D77" s="7"/>
    </row>
    <row r="78">
      <c r="D78" s="7"/>
    </row>
    <row r="79">
      <c r="D79" s="7"/>
    </row>
    <row r="80">
      <c r="D80" s="7"/>
    </row>
    <row r="81">
      <c r="D81" s="7"/>
    </row>
    <row r="82">
      <c r="D82" s="7"/>
    </row>
    <row r="83">
      <c r="D83" s="7"/>
    </row>
    <row r="84">
      <c r="D84" s="7"/>
    </row>
    <row r="85">
      <c r="D85" s="7"/>
    </row>
    <row r="86">
      <c r="D86" s="7"/>
    </row>
    <row r="87">
      <c r="D87" s="7"/>
    </row>
    <row r="88">
      <c r="D88" s="7"/>
    </row>
    <row r="89">
      <c r="D89" s="7"/>
    </row>
    <row r="90">
      <c r="D90" s="7"/>
    </row>
    <row r="91">
      <c r="D91" s="7"/>
    </row>
    <row r="92">
      <c r="D92" s="7"/>
    </row>
    <row r="93">
      <c r="D93" s="7"/>
    </row>
    <row r="94">
      <c r="D94" s="7"/>
    </row>
    <row r="95">
      <c r="D95" s="7"/>
    </row>
    <row r="96">
      <c r="D96" s="7"/>
    </row>
    <row r="97">
      <c r="D97" s="7"/>
    </row>
    <row r="98">
      <c r="D98" s="7"/>
    </row>
    <row r="99">
      <c r="D99" s="7"/>
    </row>
    <row r="100">
      <c r="D100" s="7"/>
    </row>
    <row r="101">
      <c r="D101" s="7"/>
    </row>
    <row r="102">
      <c r="D102" s="7"/>
    </row>
    <row r="103">
      <c r="D103" s="7"/>
    </row>
    <row r="104">
      <c r="D104" s="7"/>
    </row>
    <row r="105">
      <c r="D105" s="7"/>
    </row>
    <row r="106">
      <c r="D106" s="7"/>
    </row>
    <row r="107">
      <c r="D107" s="7"/>
    </row>
    <row r="108">
      <c r="D108" s="7"/>
    </row>
    <row r="109">
      <c r="D109" s="7"/>
    </row>
    <row r="110">
      <c r="D110" s="7"/>
    </row>
    <row r="111">
      <c r="D111" s="7"/>
    </row>
    <row r="112">
      <c r="D112" s="7"/>
    </row>
    <row r="113">
      <c r="D113" s="7"/>
    </row>
    <row r="114">
      <c r="D114" s="7"/>
    </row>
    <row r="115">
      <c r="D115" s="7"/>
    </row>
    <row r="116">
      <c r="D116" s="7"/>
    </row>
    <row r="117">
      <c r="D117" s="7"/>
    </row>
    <row r="118">
      <c r="D118" s="7"/>
    </row>
    <row r="119">
      <c r="D119" s="7"/>
    </row>
    <row r="120">
      <c r="D120" s="7"/>
    </row>
    <row r="121">
      <c r="D121" s="7"/>
    </row>
    <row r="122">
      <c r="D122" s="7"/>
    </row>
    <row r="123">
      <c r="D123" s="7"/>
    </row>
    <row r="124">
      <c r="D124" s="7"/>
    </row>
    <row r="125">
      <c r="D125" s="7"/>
    </row>
    <row r="126">
      <c r="D126" s="7"/>
    </row>
    <row r="127">
      <c r="D127" s="7"/>
    </row>
    <row r="128">
      <c r="D128" s="7"/>
    </row>
    <row r="129">
      <c r="D129" s="7"/>
    </row>
    <row r="130">
      <c r="D130" s="7"/>
    </row>
    <row r="131">
      <c r="D131" s="7"/>
    </row>
    <row r="132">
      <c r="D132" s="7"/>
    </row>
    <row r="133">
      <c r="D133" s="7"/>
    </row>
    <row r="134">
      <c r="D134" s="7"/>
    </row>
    <row r="135">
      <c r="D135" s="7"/>
    </row>
    <row r="136">
      <c r="D136" s="7"/>
    </row>
    <row r="137">
      <c r="D137" s="7"/>
    </row>
    <row r="138">
      <c r="D138" s="7"/>
    </row>
    <row r="139">
      <c r="D139" s="7"/>
    </row>
    <row r="140">
      <c r="D140" s="7"/>
    </row>
    <row r="141">
      <c r="D141" s="7"/>
    </row>
    <row r="142">
      <c r="D142" s="7"/>
    </row>
    <row r="143">
      <c r="D143" s="7"/>
    </row>
    <row r="144">
      <c r="D144" s="7"/>
    </row>
    <row r="145">
      <c r="D145" s="7"/>
    </row>
    <row r="146">
      <c r="D146" s="7"/>
    </row>
    <row r="147">
      <c r="D147" s="7"/>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sheetData>
  <mergeCells count="6">
    <mergeCell ref="A3:E3"/>
    <mergeCell ref="A6:E6"/>
    <mergeCell ref="A9:E9"/>
    <mergeCell ref="A10:E10"/>
    <mergeCell ref="A13:E13"/>
    <mergeCell ref="A15:E15"/>
  </mergeCells>
  <printOptions gridLines="1" horizontalCentered="1"/>
  <pageMargins bottom="0.75" footer="0.0" header="0.0" left="0.25" right="0.25" top="0.75"/>
  <pageSetup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0.5"/>
    <col customWidth="1" min="2" max="2" width="29.0"/>
  </cols>
  <sheetData>
    <row r="1">
      <c r="A1" s="1" t="s">
        <v>0</v>
      </c>
      <c r="B1" s="2"/>
      <c r="C1" s="2"/>
      <c r="D1" s="3"/>
      <c r="E1" s="4"/>
    </row>
    <row r="2">
      <c r="A2" s="5" t="s">
        <v>1</v>
      </c>
      <c r="B2" s="5" t="s">
        <v>2</v>
      </c>
      <c r="C2" s="5" t="s">
        <v>3</v>
      </c>
      <c r="D2" s="6" t="s">
        <v>4</v>
      </c>
      <c r="E2" s="5" t="s">
        <v>5</v>
      </c>
    </row>
    <row r="3">
      <c r="A3" s="8" t="s">
        <v>6</v>
      </c>
      <c r="B3" s="9"/>
      <c r="C3" s="9"/>
      <c r="D3" s="9"/>
      <c r="E3" s="10"/>
    </row>
    <row r="4">
      <c r="A4" s="11" t="s">
        <v>28</v>
      </c>
      <c r="B4" s="12" t="s">
        <v>29</v>
      </c>
      <c r="C4" s="26">
        <v>1.0</v>
      </c>
      <c r="D4" s="14" t="s">
        <v>30</v>
      </c>
      <c r="E4" s="27" t="s">
        <v>30</v>
      </c>
    </row>
    <row r="5">
      <c r="A5" s="11" t="s">
        <v>31</v>
      </c>
      <c r="B5" s="12" t="s">
        <v>32</v>
      </c>
      <c r="C5" s="28" t="s">
        <v>33</v>
      </c>
      <c r="D5" s="14">
        <f t="shared" ref="D5:D6" si="1">117.99*1.03</f>
        <v>121.5297</v>
      </c>
      <c r="E5" s="29" t="str">
        <f t="shared" ref="E5:E10" si="2">D5*C5</f>
        <v>#VALUE!</v>
      </c>
    </row>
    <row r="6">
      <c r="A6" s="11" t="s">
        <v>34</v>
      </c>
      <c r="B6" s="12" t="s">
        <v>35</v>
      </c>
      <c r="C6" s="30" t="s">
        <v>33</v>
      </c>
      <c r="D6" s="14">
        <f t="shared" si="1"/>
        <v>121.5297</v>
      </c>
      <c r="E6" s="29" t="str">
        <f t="shared" si="2"/>
        <v>#VALUE!</v>
      </c>
    </row>
    <row r="7">
      <c r="A7" s="11" t="s">
        <v>7</v>
      </c>
      <c r="B7" s="12" t="s">
        <v>8</v>
      </c>
      <c r="C7" s="30" t="s">
        <v>33</v>
      </c>
      <c r="D7" s="14">
        <f t="shared" ref="D7:D8" si="3">99.95*1.03</f>
        <v>102.9485</v>
      </c>
      <c r="E7" s="29" t="str">
        <f t="shared" si="2"/>
        <v>#VALUE!</v>
      </c>
    </row>
    <row r="8">
      <c r="A8" s="11" t="s">
        <v>36</v>
      </c>
      <c r="B8" s="12" t="s">
        <v>37</v>
      </c>
      <c r="C8" s="30" t="s">
        <v>33</v>
      </c>
      <c r="D8" s="14">
        <f t="shared" si="3"/>
        <v>102.9485</v>
      </c>
      <c r="E8" s="29" t="str">
        <f t="shared" si="2"/>
        <v>#VALUE!</v>
      </c>
    </row>
    <row r="9">
      <c r="A9" s="11" t="s">
        <v>38</v>
      </c>
      <c r="B9" s="12" t="s">
        <v>39</v>
      </c>
      <c r="C9" s="30" t="s">
        <v>40</v>
      </c>
      <c r="D9" s="14">
        <f>117.99*1.03</f>
        <v>121.5297</v>
      </c>
      <c r="E9" s="29" t="str">
        <f t="shared" si="2"/>
        <v>#VALUE!</v>
      </c>
    </row>
    <row r="10">
      <c r="A10" s="11" t="s">
        <v>9</v>
      </c>
      <c r="B10" s="12" t="s">
        <v>10</v>
      </c>
      <c r="C10" s="30" t="s">
        <v>41</v>
      </c>
      <c r="D10" s="14">
        <f>149.95*1.03</f>
        <v>154.4485</v>
      </c>
      <c r="E10" s="29" t="str">
        <f t="shared" si="2"/>
        <v>#VALUE!</v>
      </c>
    </row>
    <row r="11">
      <c r="A11" s="16" t="s">
        <v>11</v>
      </c>
      <c r="B11" s="17"/>
      <c r="C11" s="17"/>
      <c r="D11" s="17"/>
      <c r="E11" s="18"/>
    </row>
    <row r="12">
      <c r="A12" s="11" t="s">
        <v>12</v>
      </c>
      <c r="B12" s="12" t="s">
        <v>13</v>
      </c>
      <c r="C12" s="26" t="s">
        <v>33</v>
      </c>
      <c r="D12" s="14">
        <f>117.99*1.03</f>
        <v>121.5297</v>
      </c>
      <c r="E12" s="29" t="str">
        <f t="shared" ref="E12:E25" si="4">D12*C12</f>
        <v>#VALUE!</v>
      </c>
      <c r="G12" s="7">
        <f>D12*0.9</f>
        <v>109.37673</v>
      </c>
      <c r="H12" s="20">
        <f>117.99*2</f>
        <v>235.98</v>
      </c>
    </row>
    <row r="13">
      <c r="A13" s="11" t="s">
        <v>42</v>
      </c>
      <c r="B13" s="12" t="s">
        <v>43</v>
      </c>
      <c r="C13" s="26" t="s">
        <v>33</v>
      </c>
      <c r="D13" s="31">
        <v>995.0</v>
      </c>
      <c r="E13" s="29" t="str">
        <f t="shared" si="4"/>
        <v>#VALUE!</v>
      </c>
    </row>
    <row r="14">
      <c r="A14" s="11" t="s">
        <v>44</v>
      </c>
      <c r="B14" s="12" t="s">
        <v>45</v>
      </c>
      <c r="C14" s="32" t="s">
        <v>33</v>
      </c>
      <c r="D14" s="14">
        <f>175*1.03</f>
        <v>180.25</v>
      </c>
      <c r="E14" s="29" t="str">
        <f t="shared" si="4"/>
        <v>#VALUE!</v>
      </c>
    </row>
    <row r="15">
      <c r="A15" s="11" t="s">
        <v>46</v>
      </c>
      <c r="B15" s="12" t="s">
        <v>47</v>
      </c>
      <c r="C15" s="26" t="s">
        <v>33</v>
      </c>
      <c r="D15" s="33">
        <v>995.0</v>
      </c>
      <c r="E15" s="29" t="str">
        <f t="shared" si="4"/>
        <v>#VALUE!</v>
      </c>
    </row>
    <row r="16">
      <c r="A16" s="11" t="s">
        <v>14</v>
      </c>
      <c r="B16" s="12" t="s">
        <v>15</v>
      </c>
      <c r="C16" s="26" t="s">
        <v>33</v>
      </c>
      <c r="D16" s="14">
        <f>825*1.03</f>
        <v>849.75</v>
      </c>
      <c r="E16" s="29" t="str">
        <f t="shared" si="4"/>
        <v>#VALUE!</v>
      </c>
    </row>
    <row r="17">
      <c r="A17" s="11" t="s">
        <v>48</v>
      </c>
      <c r="B17" s="12" t="s">
        <v>49</v>
      </c>
      <c r="C17" s="26" t="s">
        <v>33</v>
      </c>
      <c r="D17" s="14">
        <f>675*1.03</f>
        <v>695.25</v>
      </c>
      <c r="E17" s="29" t="str">
        <f t="shared" si="4"/>
        <v>#VALUE!</v>
      </c>
    </row>
    <row r="18">
      <c r="A18" s="11" t="s">
        <v>50</v>
      </c>
      <c r="B18" s="12" t="s">
        <v>51</v>
      </c>
      <c r="C18" s="26" t="s">
        <v>33</v>
      </c>
      <c r="D18" s="14">
        <f>795*1.03</f>
        <v>818.85</v>
      </c>
      <c r="E18" s="29" t="str">
        <f t="shared" si="4"/>
        <v>#VALUE!</v>
      </c>
    </row>
    <row r="19">
      <c r="A19" s="11" t="s">
        <v>52</v>
      </c>
      <c r="B19" s="12" t="s">
        <v>53</v>
      </c>
      <c r="C19" s="26" t="s">
        <v>33</v>
      </c>
      <c r="D19" s="14">
        <f>675*1.03</f>
        <v>695.25</v>
      </c>
      <c r="E19" s="29" t="str">
        <f t="shared" si="4"/>
        <v>#VALUE!</v>
      </c>
    </row>
    <row r="20">
      <c r="A20" s="11" t="s">
        <v>54</v>
      </c>
      <c r="B20" s="12" t="s">
        <v>55</v>
      </c>
      <c r="C20" s="26" t="s">
        <v>33</v>
      </c>
      <c r="D20" s="14">
        <f>895*1.03</f>
        <v>921.85</v>
      </c>
      <c r="E20" s="29" t="str">
        <f t="shared" si="4"/>
        <v>#VALUE!</v>
      </c>
    </row>
    <row r="21">
      <c r="A21" s="11" t="s">
        <v>56</v>
      </c>
      <c r="B21" s="12" t="s">
        <v>57</v>
      </c>
      <c r="C21" s="26" t="s">
        <v>33</v>
      </c>
      <c r="D21" s="14">
        <f>745*1.03</f>
        <v>767.35</v>
      </c>
      <c r="E21" s="29" t="str">
        <f t="shared" si="4"/>
        <v>#VALUE!</v>
      </c>
    </row>
    <row r="22">
      <c r="A22" s="11" t="s">
        <v>58</v>
      </c>
      <c r="B22" s="12" t="s">
        <v>59</v>
      </c>
      <c r="C22" s="26" t="s">
        <v>33</v>
      </c>
      <c r="D22" s="14">
        <f>720*1.03</f>
        <v>741.6</v>
      </c>
      <c r="E22" s="29" t="str">
        <f t="shared" si="4"/>
        <v>#VALUE!</v>
      </c>
    </row>
    <row r="23">
      <c r="A23" s="11" t="s">
        <v>60</v>
      </c>
      <c r="B23" s="12" t="s">
        <v>61</v>
      </c>
      <c r="C23" s="26" t="s">
        <v>33</v>
      </c>
      <c r="D23" s="14">
        <f t="shared" ref="D23:D24" si="5">675*1.03</f>
        <v>695.25</v>
      </c>
      <c r="E23" s="29" t="str">
        <f t="shared" si="4"/>
        <v>#VALUE!</v>
      </c>
    </row>
    <row r="24">
      <c r="A24" s="11" t="s">
        <v>62</v>
      </c>
      <c r="B24" s="12" t="s">
        <v>63</v>
      </c>
      <c r="C24" s="26" t="s">
        <v>33</v>
      </c>
      <c r="D24" s="14">
        <f t="shared" si="5"/>
        <v>695.25</v>
      </c>
      <c r="E24" s="29" t="str">
        <f t="shared" si="4"/>
        <v>#VALUE!</v>
      </c>
    </row>
    <row r="25">
      <c r="A25" s="11" t="s">
        <v>64</v>
      </c>
      <c r="B25" s="12" t="s">
        <v>65</v>
      </c>
      <c r="C25" s="26" t="s">
        <v>33</v>
      </c>
      <c r="D25" s="14">
        <f>825*1.03</f>
        <v>849.75</v>
      </c>
      <c r="E25" s="29" t="str">
        <f t="shared" si="4"/>
        <v>#VALUE!</v>
      </c>
    </row>
    <row r="26">
      <c r="A26" s="16" t="s">
        <v>16</v>
      </c>
      <c r="B26" s="17"/>
      <c r="C26" s="17"/>
      <c r="D26" s="17"/>
      <c r="E26" s="18"/>
    </row>
    <row r="27">
      <c r="A27" s="16" t="s">
        <v>66</v>
      </c>
      <c r="B27" s="17"/>
      <c r="C27" s="17"/>
      <c r="D27" s="17"/>
      <c r="E27" s="18"/>
    </row>
    <row r="28">
      <c r="A28" s="11" t="s">
        <v>67</v>
      </c>
      <c r="B28" s="12" t="s">
        <v>68</v>
      </c>
      <c r="C28" s="26" t="s">
        <v>33</v>
      </c>
      <c r="D28" s="14">
        <f>299*1.03</f>
        <v>307.97</v>
      </c>
      <c r="E28" s="29" t="str">
        <f t="shared" ref="E28:E38" si="6">D28*C28</f>
        <v>#VALUE!</v>
      </c>
    </row>
    <row r="29">
      <c r="A29" s="11" t="s">
        <v>69</v>
      </c>
      <c r="B29" s="12" t="s">
        <v>70</v>
      </c>
      <c r="C29" s="26" t="s">
        <v>33</v>
      </c>
      <c r="D29" s="14">
        <f>385*1.03</f>
        <v>396.55</v>
      </c>
      <c r="E29" s="29" t="str">
        <f t="shared" si="6"/>
        <v>#VALUE!</v>
      </c>
    </row>
    <row r="30">
      <c r="A30" s="11" t="s">
        <v>71</v>
      </c>
      <c r="B30" s="12" t="s">
        <v>72</v>
      </c>
      <c r="C30" s="26" t="s">
        <v>33</v>
      </c>
      <c r="D30" s="14">
        <f>399*1.03</f>
        <v>410.97</v>
      </c>
      <c r="E30" s="29" t="str">
        <f t="shared" si="6"/>
        <v>#VALUE!</v>
      </c>
    </row>
    <row r="31">
      <c r="A31" s="11" t="s">
        <v>73</v>
      </c>
      <c r="B31" s="12" t="s">
        <v>74</v>
      </c>
      <c r="C31" s="26" t="s">
        <v>33</v>
      </c>
      <c r="D31" s="14">
        <f>485*1.03</f>
        <v>499.55</v>
      </c>
      <c r="E31" s="29" t="str">
        <f t="shared" si="6"/>
        <v>#VALUE!</v>
      </c>
    </row>
    <row r="32">
      <c r="A32" s="11" t="s">
        <v>75</v>
      </c>
      <c r="B32" s="12" t="s">
        <v>76</v>
      </c>
      <c r="C32" s="26" t="s">
        <v>33</v>
      </c>
      <c r="D32" s="14">
        <f>65*1.03</f>
        <v>66.95</v>
      </c>
      <c r="E32" s="29" t="str">
        <f t="shared" si="6"/>
        <v>#VALUE!</v>
      </c>
    </row>
    <row r="33">
      <c r="A33" s="11" t="s">
        <v>77</v>
      </c>
      <c r="B33" s="12" t="s">
        <v>78</v>
      </c>
      <c r="C33" s="26" t="s">
        <v>33</v>
      </c>
      <c r="D33" s="14">
        <f>99*1.03</f>
        <v>101.97</v>
      </c>
      <c r="E33" s="29" t="str">
        <f t="shared" si="6"/>
        <v>#VALUE!</v>
      </c>
    </row>
    <row r="34">
      <c r="A34" s="11" t="s">
        <v>79</v>
      </c>
      <c r="B34" s="12" t="s">
        <v>80</v>
      </c>
      <c r="C34" s="26" t="s">
        <v>33</v>
      </c>
      <c r="D34" s="14">
        <f>35*1.03</f>
        <v>36.05</v>
      </c>
      <c r="E34" s="29" t="str">
        <f t="shared" si="6"/>
        <v>#VALUE!</v>
      </c>
    </row>
    <row r="35">
      <c r="A35" s="11" t="s">
        <v>81</v>
      </c>
      <c r="B35" s="12" t="s">
        <v>82</v>
      </c>
      <c r="C35" s="26" t="s">
        <v>33</v>
      </c>
      <c r="D35" s="14">
        <f>75*1.03</f>
        <v>77.25</v>
      </c>
      <c r="E35" s="29" t="str">
        <f t="shared" si="6"/>
        <v>#VALUE!</v>
      </c>
    </row>
    <row r="36">
      <c r="A36" s="11" t="s">
        <v>83</v>
      </c>
      <c r="B36" s="12" t="s">
        <v>84</v>
      </c>
      <c r="C36" s="26" t="s">
        <v>33</v>
      </c>
      <c r="D36" s="14">
        <f>125*1.03</f>
        <v>128.75</v>
      </c>
      <c r="E36" s="29" t="str">
        <f t="shared" si="6"/>
        <v>#VALUE!</v>
      </c>
    </row>
    <row r="37">
      <c r="A37" s="11" t="s">
        <v>85</v>
      </c>
      <c r="B37" s="12" t="s">
        <v>86</v>
      </c>
      <c r="C37" s="26" t="s">
        <v>33</v>
      </c>
      <c r="D37" s="14">
        <f>29*1.03</f>
        <v>29.87</v>
      </c>
      <c r="E37" s="29" t="str">
        <f t="shared" si="6"/>
        <v>#VALUE!</v>
      </c>
    </row>
    <row r="38">
      <c r="A38" s="11" t="s">
        <v>87</v>
      </c>
      <c r="B38" s="12" t="s">
        <v>88</v>
      </c>
      <c r="C38" s="26" t="s">
        <v>33</v>
      </c>
      <c r="D38" s="14">
        <f>45*1.03</f>
        <v>46.35</v>
      </c>
      <c r="E38" s="29" t="str">
        <f t="shared" si="6"/>
        <v>#VALUE!</v>
      </c>
    </row>
    <row r="39">
      <c r="A39" s="16" t="s">
        <v>17</v>
      </c>
      <c r="B39" s="17"/>
      <c r="C39" s="17"/>
      <c r="D39" s="17"/>
      <c r="E39" s="18"/>
    </row>
    <row r="40">
      <c r="A40" s="11" t="s">
        <v>18</v>
      </c>
      <c r="B40" s="12" t="s">
        <v>19</v>
      </c>
      <c r="C40" s="26" t="s">
        <v>33</v>
      </c>
      <c r="D40" s="14">
        <f>395*1.03</f>
        <v>406.85</v>
      </c>
      <c r="E40" s="29" t="str">
        <f t="shared" ref="E40:E42" si="7">D40*C40</f>
        <v>#VALUE!</v>
      </c>
    </row>
    <row r="41">
      <c r="A41" s="11" t="s">
        <v>89</v>
      </c>
      <c r="B41" s="12" t="s">
        <v>90</v>
      </c>
      <c r="C41" s="26" t="s">
        <v>33</v>
      </c>
      <c r="D41" s="14">
        <f>429*1.03</f>
        <v>441.87</v>
      </c>
      <c r="E41" s="29" t="str">
        <f t="shared" si="7"/>
        <v>#VALUE!</v>
      </c>
    </row>
    <row r="42">
      <c r="A42" s="11" t="s">
        <v>20</v>
      </c>
      <c r="B42" s="12" t="s">
        <v>21</v>
      </c>
      <c r="C42" s="26" t="s">
        <v>33</v>
      </c>
      <c r="D42" s="14">
        <f>495*1.03</f>
        <v>509.85</v>
      </c>
      <c r="E42" s="29" t="str">
        <f t="shared" si="7"/>
        <v>#VALUE!</v>
      </c>
    </row>
    <row r="43">
      <c r="A43" s="34" t="s">
        <v>91</v>
      </c>
      <c r="B43" s="17"/>
      <c r="C43" s="17"/>
      <c r="D43" s="17"/>
      <c r="E43" s="18"/>
    </row>
    <row r="44">
      <c r="A44" s="11" t="s">
        <v>92</v>
      </c>
      <c r="B44" s="35" t="s">
        <v>93</v>
      </c>
      <c r="C44" s="26" t="s">
        <v>33</v>
      </c>
      <c r="D44" s="14">
        <f>55*1.03</f>
        <v>56.65</v>
      </c>
      <c r="E44" s="29" t="str">
        <f t="shared" ref="E44:E47" si="8">D44*C44</f>
        <v>#VALUE!</v>
      </c>
    </row>
    <row r="45">
      <c r="A45" s="11" t="s">
        <v>94</v>
      </c>
      <c r="B45" s="35" t="s">
        <v>95</v>
      </c>
      <c r="C45" s="26" t="s">
        <v>33</v>
      </c>
      <c r="D45" s="14">
        <f>265*1.03</f>
        <v>272.95</v>
      </c>
      <c r="E45" s="29" t="str">
        <f t="shared" si="8"/>
        <v>#VALUE!</v>
      </c>
    </row>
    <row r="46">
      <c r="A46" s="11" t="s">
        <v>96</v>
      </c>
      <c r="B46" s="35" t="s">
        <v>97</v>
      </c>
      <c r="C46" s="26" t="s">
        <v>33</v>
      </c>
      <c r="D46" s="14">
        <v>500.0</v>
      </c>
      <c r="E46" s="29" t="str">
        <f t="shared" si="8"/>
        <v>#VALUE!</v>
      </c>
    </row>
    <row r="47">
      <c r="A47" s="11" t="s">
        <v>98</v>
      </c>
      <c r="B47" s="35" t="s">
        <v>99</v>
      </c>
      <c r="C47" s="36" t="s">
        <v>33</v>
      </c>
      <c r="D47" s="14">
        <v>840.0</v>
      </c>
      <c r="E47" s="29" t="str">
        <f t="shared" si="8"/>
        <v>#VALUE!</v>
      </c>
    </row>
    <row r="48">
      <c r="A48" s="37" t="s">
        <v>100</v>
      </c>
      <c r="B48" s="38"/>
      <c r="C48" s="39"/>
      <c r="D48" s="40" t="s">
        <v>101</v>
      </c>
      <c r="E48" s="41"/>
    </row>
    <row r="49">
      <c r="A49" s="37" t="s">
        <v>102</v>
      </c>
      <c r="B49" s="38"/>
      <c r="C49" s="39"/>
      <c r="D49" s="40" t="s">
        <v>101</v>
      </c>
      <c r="E49" s="41"/>
    </row>
    <row r="50">
      <c r="A50" s="11" t="s">
        <v>103</v>
      </c>
      <c r="B50" s="12" t="s">
        <v>104</v>
      </c>
      <c r="C50" s="26" t="s">
        <v>33</v>
      </c>
      <c r="D50" s="14">
        <f>75*1.03</f>
        <v>77.25</v>
      </c>
      <c r="E50" s="29" t="str">
        <f t="shared" ref="E50:E52" si="9">D50*C50</f>
        <v>#VALUE!</v>
      </c>
    </row>
    <row r="51">
      <c r="A51" s="11" t="s">
        <v>105</v>
      </c>
      <c r="B51" s="12" t="s">
        <v>106</v>
      </c>
      <c r="C51" s="26" t="s">
        <v>33</v>
      </c>
      <c r="D51" s="14">
        <v>545.0</v>
      </c>
      <c r="E51" s="29" t="str">
        <f t="shared" si="9"/>
        <v>#VALUE!</v>
      </c>
    </row>
    <row r="52">
      <c r="A52" s="11" t="s">
        <v>107</v>
      </c>
      <c r="B52" s="12" t="s">
        <v>108</v>
      </c>
      <c r="C52" s="26" t="s">
        <v>33</v>
      </c>
      <c r="D52" s="14">
        <v>750.0</v>
      </c>
      <c r="E52" s="29" t="str">
        <f t="shared" si="9"/>
        <v>#VALUE!</v>
      </c>
    </row>
    <row r="53">
      <c r="A53" s="42" t="s">
        <v>109</v>
      </c>
      <c r="B53" s="43" t="s">
        <v>110</v>
      </c>
      <c r="C53" s="44"/>
      <c r="D53" s="14" t="s">
        <v>101</v>
      </c>
      <c r="E53" s="29"/>
    </row>
    <row r="54">
      <c r="A54" s="45" t="s">
        <v>111</v>
      </c>
      <c r="B54" s="43" t="s">
        <v>112</v>
      </c>
      <c r="C54" s="44" t="s">
        <v>33</v>
      </c>
      <c r="D54" s="14">
        <f>50*1.03</f>
        <v>51.5</v>
      </c>
      <c r="E54" s="29" t="str">
        <f t="shared" ref="E54:E56" si="10">D54*C54</f>
        <v>#VALUE!</v>
      </c>
    </row>
    <row r="55">
      <c r="A55" s="11" t="s">
        <v>113</v>
      </c>
      <c r="B55" s="46" t="s">
        <v>114</v>
      </c>
      <c r="C55" s="26" t="s">
        <v>33</v>
      </c>
      <c r="D55" s="14">
        <f>155*1.03</f>
        <v>159.65</v>
      </c>
      <c r="E55" s="29" t="str">
        <f t="shared" si="10"/>
        <v>#VALUE!</v>
      </c>
    </row>
    <row r="56">
      <c r="A56" s="11" t="s">
        <v>115</v>
      </c>
      <c r="B56" s="12" t="s">
        <v>116</v>
      </c>
      <c r="C56" s="26" t="s">
        <v>33</v>
      </c>
      <c r="D56" s="14">
        <f>495*1.03</f>
        <v>509.85</v>
      </c>
      <c r="E56" s="29" t="str">
        <f t="shared" si="10"/>
        <v>#VALUE!</v>
      </c>
    </row>
    <row r="57">
      <c r="A57" s="16" t="s">
        <v>117</v>
      </c>
      <c r="B57" s="17"/>
      <c r="C57" s="17"/>
      <c r="D57" s="17"/>
      <c r="E57" s="18"/>
    </row>
    <row r="58">
      <c r="A58" s="11" t="s">
        <v>118</v>
      </c>
      <c r="B58" s="12" t="s">
        <v>119</v>
      </c>
      <c r="C58" s="26" t="s">
        <v>33</v>
      </c>
      <c r="D58" s="14">
        <f t="shared" ref="D58:D59" si="11">295*1.03</f>
        <v>303.85</v>
      </c>
      <c r="E58" s="29" t="str">
        <f t="shared" ref="E58:E59" si="12">D58*C58</f>
        <v>#VALUE!</v>
      </c>
    </row>
    <row r="59">
      <c r="A59" s="11" t="s">
        <v>120</v>
      </c>
      <c r="B59" s="12" t="s">
        <v>121</v>
      </c>
      <c r="C59" s="26" t="s">
        <v>33</v>
      </c>
      <c r="D59" s="14">
        <f t="shared" si="11"/>
        <v>303.85</v>
      </c>
      <c r="E59" s="29" t="str">
        <f t="shared" si="12"/>
        <v>#VALUE!</v>
      </c>
      <c r="F59" s="47" t="s">
        <v>122</v>
      </c>
    </row>
    <row r="60">
      <c r="A60" s="37" t="s">
        <v>123</v>
      </c>
      <c r="B60" s="48"/>
      <c r="C60" s="49"/>
      <c r="D60" s="40"/>
      <c r="E60" s="41"/>
    </row>
    <row r="61">
      <c r="A61" s="11" t="s">
        <v>124</v>
      </c>
      <c r="B61" s="12" t="s">
        <v>125</v>
      </c>
      <c r="C61" s="26" t="s">
        <v>33</v>
      </c>
      <c r="D61" s="14" t="s">
        <v>101</v>
      </c>
      <c r="E61" s="29" t="str">
        <f t="shared" ref="E61:E63" si="13">D61*C61</f>
        <v>#VALUE!</v>
      </c>
    </row>
    <row r="62">
      <c r="A62" s="45" t="s">
        <v>126</v>
      </c>
      <c r="B62" s="50" t="s">
        <v>127</v>
      </c>
      <c r="C62" s="26" t="s">
        <v>33</v>
      </c>
      <c r="D62" s="14">
        <f>85*1.03</f>
        <v>87.55</v>
      </c>
      <c r="E62" s="29" t="str">
        <f t="shared" si="13"/>
        <v>#VALUE!</v>
      </c>
    </row>
    <row r="63">
      <c r="A63" s="51" t="s">
        <v>128</v>
      </c>
      <c r="B63" s="52" t="s">
        <v>129</v>
      </c>
      <c r="C63" s="26" t="s">
        <v>33</v>
      </c>
      <c r="D63" s="14">
        <f>240*1.03</f>
        <v>247.2</v>
      </c>
      <c r="E63" s="29" t="str">
        <f t="shared" si="13"/>
        <v>#VALUE!</v>
      </c>
    </row>
    <row r="64">
      <c r="A64" s="21" t="s">
        <v>130</v>
      </c>
      <c r="B64" s="17"/>
      <c r="C64" s="17"/>
      <c r="D64" s="17"/>
      <c r="E64" s="18"/>
    </row>
    <row r="65">
      <c r="A65" s="11" t="s">
        <v>131</v>
      </c>
      <c r="B65" s="12" t="s">
        <v>132</v>
      </c>
      <c r="C65" s="26" t="s">
        <v>33</v>
      </c>
      <c r="D65" s="14">
        <f>429*1.03</f>
        <v>441.87</v>
      </c>
      <c r="E65" s="29" t="str">
        <f>D65*C65</f>
        <v>#VALUE!</v>
      </c>
    </row>
    <row r="66">
      <c r="A66" s="21" t="s">
        <v>22</v>
      </c>
      <c r="B66" s="17"/>
      <c r="C66" s="17"/>
      <c r="D66" s="17"/>
      <c r="E66" s="18"/>
    </row>
    <row r="67">
      <c r="A67" s="11" t="s">
        <v>23</v>
      </c>
      <c r="B67" s="12" t="s">
        <v>133</v>
      </c>
      <c r="C67" s="26" t="s">
        <v>33</v>
      </c>
      <c r="D67" s="14">
        <v>99.95</v>
      </c>
      <c r="E67" s="29" t="str">
        <f t="shared" ref="E67:E76" si="14">D67*C67</f>
        <v>#VALUE!</v>
      </c>
    </row>
    <row r="68">
      <c r="A68" s="11" t="s">
        <v>134</v>
      </c>
      <c r="B68" s="12" t="s">
        <v>135</v>
      </c>
      <c r="C68" s="26" t="s">
        <v>33</v>
      </c>
      <c r="D68" s="14">
        <f>60*1.03</f>
        <v>61.8</v>
      </c>
      <c r="E68" s="29" t="str">
        <f t="shared" si="14"/>
        <v>#VALUE!</v>
      </c>
    </row>
    <row r="69">
      <c r="A69" s="11" t="s">
        <v>136</v>
      </c>
      <c r="B69" s="12" t="s">
        <v>137</v>
      </c>
      <c r="C69" s="26" t="s">
        <v>33</v>
      </c>
      <c r="D69" s="14">
        <v>99.95</v>
      </c>
      <c r="E69" s="29" t="str">
        <f t="shared" si="14"/>
        <v>#VALUE!</v>
      </c>
    </row>
    <row r="70">
      <c r="A70" s="11" t="s">
        <v>138</v>
      </c>
      <c r="B70" s="53" t="s">
        <v>139</v>
      </c>
      <c r="C70" s="26" t="s">
        <v>33</v>
      </c>
      <c r="D70" s="14">
        <f>15*1.03</f>
        <v>15.45</v>
      </c>
      <c r="E70" s="29" t="str">
        <f t="shared" si="14"/>
        <v>#VALUE!</v>
      </c>
    </row>
    <row r="71">
      <c r="A71" s="11" t="s">
        <v>140</v>
      </c>
      <c r="B71" s="12" t="s">
        <v>141</v>
      </c>
      <c r="C71" s="26" t="s">
        <v>33</v>
      </c>
      <c r="D71" s="14">
        <f>45*1.03</f>
        <v>46.35</v>
      </c>
      <c r="E71" s="29" t="str">
        <f t="shared" si="14"/>
        <v>#VALUE!</v>
      </c>
    </row>
    <row r="72">
      <c r="A72" s="11" t="s">
        <v>142</v>
      </c>
      <c r="B72" s="12" t="s">
        <v>143</v>
      </c>
      <c r="C72" s="26" t="s">
        <v>33</v>
      </c>
      <c r="D72" s="14">
        <f t="shared" ref="D72:D73" si="15">55*1.03</f>
        <v>56.65</v>
      </c>
      <c r="E72" s="29" t="str">
        <f t="shared" si="14"/>
        <v>#VALUE!</v>
      </c>
    </row>
    <row r="73">
      <c r="A73" s="11" t="s">
        <v>144</v>
      </c>
      <c r="B73" s="12" t="s">
        <v>145</v>
      </c>
      <c r="C73" s="26" t="s">
        <v>33</v>
      </c>
      <c r="D73" s="14">
        <f t="shared" si="15"/>
        <v>56.65</v>
      </c>
      <c r="E73" s="29" t="str">
        <f t="shared" si="14"/>
        <v>#VALUE!</v>
      </c>
    </row>
    <row r="74">
      <c r="A74" s="11" t="s">
        <v>146</v>
      </c>
      <c r="B74" s="12" t="s">
        <v>147</v>
      </c>
      <c r="C74" s="26" t="s">
        <v>33</v>
      </c>
      <c r="D74" s="14">
        <f>45*1.03</f>
        <v>46.35</v>
      </c>
      <c r="E74" s="29" t="str">
        <f t="shared" si="14"/>
        <v>#VALUE!</v>
      </c>
    </row>
    <row r="75">
      <c r="A75" s="11" t="s">
        <v>148</v>
      </c>
      <c r="B75" s="12" t="s">
        <v>149</v>
      </c>
      <c r="C75" s="26" t="s">
        <v>33</v>
      </c>
      <c r="D75" s="14">
        <f t="shared" ref="D75:D76" si="16">150*1.03</f>
        <v>154.5</v>
      </c>
      <c r="E75" s="29" t="str">
        <f t="shared" si="14"/>
        <v>#VALUE!</v>
      </c>
    </row>
    <row r="76">
      <c r="A76" s="11" t="s">
        <v>150</v>
      </c>
      <c r="B76" s="12" t="s">
        <v>151</v>
      </c>
      <c r="C76" s="26" t="s">
        <v>33</v>
      </c>
      <c r="D76" s="14">
        <f t="shared" si="16"/>
        <v>154.5</v>
      </c>
      <c r="E76" s="29" t="str">
        <f t="shared" si="14"/>
        <v>#VALUE!</v>
      </c>
    </row>
    <row r="77">
      <c r="A77" s="16" t="s">
        <v>152</v>
      </c>
      <c r="B77" s="17"/>
      <c r="C77" s="17"/>
      <c r="D77" s="17"/>
      <c r="E77" s="18"/>
    </row>
    <row r="78">
      <c r="A78" s="11" t="s">
        <v>153</v>
      </c>
      <c r="B78" s="12" t="s">
        <v>154</v>
      </c>
      <c r="C78" s="30" t="s">
        <v>33</v>
      </c>
      <c r="D78" s="14">
        <f>45*1.03</f>
        <v>46.35</v>
      </c>
      <c r="E78" s="29" t="str">
        <f t="shared" ref="E78:E90" si="17">D78*C78</f>
        <v>#VALUE!</v>
      </c>
    </row>
    <row r="79">
      <c r="A79" s="11" t="s">
        <v>155</v>
      </c>
      <c r="B79" s="12" t="s">
        <v>156</v>
      </c>
      <c r="C79" s="13" t="s">
        <v>33</v>
      </c>
      <c r="D79" s="14">
        <f>75*1.03</f>
        <v>77.25</v>
      </c>
      <c r="E79" s="29" t="str">
        <f t="shared" si="17"/>
        <v>#VALUE!</v>
      </c>
    </row>
    <row r="80">
      <c r="A80" s="11" t="s">
        <v>157</v>
      </c>
      <c r="B80" s="12" t="s">
        <v>158</v>
      </c>
      <c r="C80" s="30" t="s">
        <v>33</v>
      </c>
      <c r="D80" s="14">
        <f>225*1.03</f>
        <v>231.75</v>
      </c>
      <c r="E80" s="29" t="str">
        <f t="shared" si="17"/>
        <v>#VALUE!</v>
      </c>
    </row>
    <row r="81">
      <c r="A81" s="11" t="s">
        <v>159</v>
      </c>
      <c r="B81" s="12" t="s">
        <v>160</v>
      </c>
      <c r="C81" s="30" t="s">
        <v>33</v>
      </c>
      <c r="D81" s="14">
        <f>315*1.03</f>
        <v>324.45</v>
      </c>
      <c r="E81" s="29" t="str">
        <f t="shared" si="17"/>
        <v>#VALUE!</v>
      </c>
    </row>
    <row r="82">
      <c r="A82" s="11" t="s">
        <v>161</v>
      </c>
      <c r="B82" s="12" t="s">
        <v>158</v>
      </c>
      <c r="C82" s="30" t="s">
        <v>33</v>
      </c>
      <c r="D82" s="14">
        <f>405*1.03</f>
        <v>417.15</v>
      </c>
      <c r="E82" s="29" t="str">
        <f t="shared" si="17"/>
        <v>#VALUE!</v>
      </c>
    </row>
    <row r="83">
      <c r="A83" s="11" t="s">
        <v>162</v>
      </c>
      <c r="B83" s="12" t="s">
        <v>160</v>
      </c>
      <c r="C83" s="30" t="s">
        <v>33</v>
      </c>
      <c r="D83" s="14">
        <f t="shared" ref="D83:D84" si="18">495*1.03</f>
        <v>509.85</v>
      </c>
      <c r="E83" s="29" t="str">
        <f t="shared" si="17"/>
        <v>#VALUE!</v>
      </c>
    </row>
    <row r="84">
      <c r="A84" s="11" t="s">
        <v>163</v>
      </c>
      <c r="B84" s="12" t="s">
        <v>158</v>
      </c>
      <c r="C84" s="30" t="s">
        <v>33</v>
      </c>
      <c r="D84" s="14">
        <f t="shared" si="18"/>
        <v>509.85</v>
      </c>
      <c r="E84" s="29" t="str">
        <f t="shared" si="17"/>
        <v>#VALUE!</v>
      </c>
    </row>
    <row r="85">
      <c r="A85" s="11" t="s">
        <v>164</v>
      </c>
      <c r="B85" s="12" t="s">
        <v>160</v>
      </c>
      <c r="C85" s="30" t="s">
        <v>33</v>
      </c>
      <c r="D85" s="14">
        <f>675*1.03</f>
        <v>695.25</v>
      </c>
      <c r="E85" s="29" t="str">
        <f t="shared" si="17"/>
        <v>#VALUE!</v>
      </c>
    </row>
    <row r="86">
      <c r="A86" s="11" t="s">
        <v>165</v>
      </c>
      <c r="B86" s="12" t="s">
        <v>166</v>
      </c>
      <c r="C86" s="30" t="s">
        <v>33</v>
      </c>
      <c r="D86" s="14">
        <f>90*1.03</f>
        <v>92.7</v>
      </c>
      <c r="E86" s="29" t="str">
        <f t="shared" si="17"/>
        <v>#VALUE!</v>
      </c>
    </row>
    <row r="87">
      <c r="A87" s="54" t="s">
        <v>167</v>
      </c>
      <c r="B87" s="12" t="s">
        <v>168</v>
      </c>
      <c r="C87" s="30" t="s">
        <v>33</v>
      </c>
      <c r="D87" s="14">
        <f>895*1.03</f>
        <v>921.85</v>
      </c>
      <c r="E87" s="29" t="str">
        <f t="shared" si="17"/>
        <v>#VALUE!</v>
      </c>
    </row>
    <row r="88">
      <c r="A88" s="11" t="s">
        <v>169</v>
      </c>
      <c r="B88" s="12" t="s">
        <v>170</v>
      </c>
      <c r="C88" s="30" t="s">
        <v>171</v>
      </c>
      <c r="D88" s="14">
        <f>985*1.03</f>
        <v>1014.55</v>
      </c>
      <c r="E88" s="29" t="str">
        <f t="shared" si="17"/>
        <v>#VALUE!</v>
      </c>
    </row>
    <row r="89">
      <c r="A89" s="11" t="s">
        <v>172</v>
      </c>
      <c r="B89" s="12" t="s">
        <v>170</v>
      </c>
      <c r="C89" s="30" t="s">
        <v>171</v>
      </c>
      <c r="D89" s="14">
        <f>1895*1.03</f>
        <v>1951.85</v>
      </c>
      <c r="E89" s="29" t="str">
        <f t="shared" si="17"/>
        <v>#VALUE!</v>
      </c>
    </row>
    <row r="90">
      <c r="A90" s="51" t="s">
        <v>173</v>
      </c>
      <c r="B90" s="50" t="s">
        <v>174</v>
      </c>
      <c r="C90" s="55" t="s">
        <v>175</v>
      </c>
      <c r="D90" s="14">
        <f>85*1.03</f>
        <v>87.55</v>
      </c>
      <c r="E90" s="29" t="str">
        <f t="shared" si="17"/>
        <v>#VALUE!</v>
      </c>
    </row>
    <row r="91">
      <c r="A91" s="16" t="s">
        <v>25</v>
      </c>
      <c r="B91" s="17"/>
      <c r="C91" s="17"/>
      <c r="D91" s="17"/>
      <c r="E91" s="18"/>
    </row>
    <row r="92">
      <c r="A92" s="8" t="s">
        <v>26</v>
      </c>
      <c r="B92" s="22" t="s">
        <v>27</v>
      </c>
      <c r="C92" s="23" t="s">
        <v>33</v>
      </c>
      <c r="D92" s="24">
        <f>-0.1*121.53</f>
        <v>-12.153</v>
      </c>
      <c r="E92" s="56" t="str">
        <f>D92*C92</f>
        <v>#VALUE!</v>
      </c>
    </row>
    <row r="93">
      <c r="D93" s="7"/>
    </row>
    <row r="94">
      <c r="D94" s="7"/>
    </row>
    <row r="95">
      <c r="D95" s="7"/>
    </row>
    <row r="96">
      <c r="D96" s="7"/>
    </row>
    <row r="97">
      <c r="D97" s="7"/>
    </row>
    <row r="98">
      <c r="D98" s="7"/>
    </row>
    <row r="99">
      <c r="D99" s="7"/>
    </row>
    <row r="100">
      <c r="D100" s="7"/>
    </row>
    <row r="101">
      <c r="D101" s="7"/>
    </row>
    <row r="102">
      <c r="D102" s="7"/>
    </row>
    <row r="103">
      <c r="D103" s="7"/>
    </row>
    <row r="104">
      <c r="D104" s="7"/>
    </row>
    <row r="105">
      <c r="D105" s="7"/>
    </row>
    <row r="106">
      <c r="D106" s="7"/>
    </row>
    <row r="107">
      <c r="D107" s="7"/>
    </row>
    <row r="108">
      <c r="D108" s="7"/>
    </row>
    <row r="109">
      <c r="D109" s="7"/>
    </row>
    <row r="110">
      <c r="D110" s="7"/>
    </row>
    <row r="111">
      <c r="D111" s="7"/>
    </row>
    <row r="112">
      <c r="D112" s="7"/>
    </row>
    <row r="113">
      <c r="D113" s="7"/>
    </row>
    <row r="114">
      <c r="D114" s="7"/>
    </row>
    <row r="115">
      <c r="D115" s="7"/>
    </row>
    <row r="116">
      <c r="D116" s="7"/>
    </row>
    <row r="117">
      <c r="D117" s="7"/>
    </row>
    <row r="118">
      <c r="D118" s="7"/>
    </row>
    <row r="119">
      <c r="D119" s="7"/>
    </row>
    <row r="120">
      <c r="D120" s="7"/>
    </row>
    <row r="121">
      <c r="D121" s="7"/>
    </row>
    <row r="122">
      <c r="D122" s="7"/>
    </row>
    <row r="123">
      <c r="D123" s="7"/>
    </row>
    <row r="124">
      <c r="D124" s="7"/>
    </row>
    <row r="125">
      <c r="D125" s="7"/>
    </row>
    <row r="126">
      <c r="D126" s="7"/>
    </row>
    <row r="127">
      <c r="D127" s="7"/>
    </row>
    <row r="128">
      <c r="D128" s="7"/>
    </row>
    <row r="129">
      <c r="D129" s="7"/>
    </row>
    <row r="130">
      <c r="D130" s="7"/>
    </row>
    <row r="131">
      <c r="D131" s="7"/>
    </row>
    <row r="132">
      <c r="D132" s="7"/>
    </row>
    <row r="133">
      <c r="D133" s="7"/>
    </row>
    <row r="134">
      <c r="D134" s="7"/>
    </row>
    <row r="135">
      <c r="D135" s="7"/>
    </row>
    <row r="136">
      <c r="D136" s="7"/>
    </row>
    <row r="137">
      <c r="D137" s="7"/>
    </row>
    <row r="138">
      <c r="D138" s="7"/>
    </row>
    <row r="139">
      <c r="D139" s="7"/>
    </row>
    <row r="140">
      <c r="D140" s="7"/>
    </row>
    <row r="141">
      <c r="D141" s="7"/>
    </row>
    <row r="142">
      <c r="D142" s="7"/>
    </row>
    <row r="143">
      <c r="D143" s="7"/>
    </row>
    <row r="144">
      <c r="D144" s="7"/>
    </row>
    <row r="145">
      <c r="D145" s="7"/>
    </row>
    <row r="146">
      <c r="D146" s="7"/>
    </row>
    <row r="147">
      <c r="D147" s="7"/>
    </row>
    <row r="148">
      <c r="D148" s="7"/>
    </row>
    <row r="149">
      <c r="D149" s="7"/>
    </row>
    <row r="150">
      <c r="D150" s="7"/>
    </row>
    <row r="151">
      <c r="D151" s="7"/>
    </row>
    <row r="152">
      <c r="D152" s="7"/>
    </row>
    <row r="153">
      <c r="D153" s="7"/>
    </row>
    <row r="154">
      <c r="D154" s="7"/>
    </row>
    <row r="155">
      <c r="D155" s="7"/>
    </row>
    <row r="156">
      <c r="D156" s="7"/>
    </row>
    <row r="157">
      <c r="D157" s="7"/>
    </row>
    <row r="158">
      <c r="D158" s="7"/>
    </row>
    <row r="159">
      <c r="D159" s="7"/>
    </row>
    <row r="160">
      <c r="D160" s="7"/>
    </row>
    <row r="161">
      <c r="D161" s="7"/>
    </row>
    <row r="162">
      <c r="D162" s="7"/>
    </row>
    <row r="163">
      <c r="D163" s="7"/>
    </row>
    <row r="164">
      <c r="D164" s="7"/>
    </row>
    <row r="165">
      <c r="D165" s="7"/>
    </row>
    <row r="166">
      <c r="D166" s="7"/>
    </row>
    <row r="167">
      <c r="D167" s="7"/>
    </row>
    <row r="168">
      <c r="D168" s="7"/>
    </row>
    <row r="169">
      <c r="D169" s="7"/>
    </row>
    <row r="170">
      <c r="D170" s="7"/>
    </row>
    <row r="171">
      <c r="D171" s="7"/>
    </row>
    <row r="172">
      <c r="D172" s="7"/>
    </row>
    <row r="173">
      <c r="D173" s="7"/>
    </row>
    <row r="174">
      <c r="D174" s="7"/>
    </row>
    <row r="175">
      <c r="D175" s="7"/>
    </row>
    <row r="176">
      <c r="D176" s="7"/>
    </row>
    <row r="177">
      <c r="D177" s="7"/>
    </row>
    <row r="178">
      <c r="D178" s="7"/>
    </row>
    <row r="179">
      <c r="D179" s="7"/>
    </row>
    <row r="180">
      <c r="D180" s="7"/>
    </row>
    <row r="181">
      <c r="D181" s="7"/>
    </row>
    <row r="182">
      <c r="D182" s="7"/>
    </row>
    <row r="183">
      <c r="D183" s="7"/>
    </row>
    <row r="184">
      <c r="D184" s="7"/>
    </row>
    <row r="185">
      <c r="D185" s="7"/>
    </row>
    <row r="186">
      <c r="D186" s="7"/>
    </row>
    <row r="187">
      <c r="D187" s="7"/>
    </row>
    <row r="188">
      <c r="D188" s="7"/>
    </row>
    <row r="189">
      <c r="D189" s="7"/>
    </row>
    <row r="190">
      <c r="D190" s="7"/>
    </row>
    <row r="191">
      <c r="D191" s="7"/>
    </row>
    <row r="192">
      <c r="D192" s="7"/>
    </row>
    <row r="193">
      <c r="D193" s="7"/>
    </row>
    <row r="194">
      <c r="D194" s="7"/>
    </row>
    <row r="195">
      <c r="D195" s="7"/>
    </row>
    <row r="196">
      <c r="D196" s="7"/>
    </row>
    <row r="197">
      <c r="D197" s="7"/>
    </row>
    <row r="198">
      <c r="D198" s="7"/>
    </row>
    <row r="199">
      <c r="D199" s="7"/>
    </row>
    <row r="200">
      <c r="D200" s="7"/>
    </row>
    <row r="201">
      <c r="D201" s="7"/>
    </row>
    <row r="202">
      <c r="D202" s="7"/>
    </row>
    <row r="203">
      <c r="D203" s="7"/>
    </row>
    <row r="204">
      <c r="D204" s="7"/>
    </row>
    <row r="205">
      <c r="D205" s="7"/>
    </row>
    <row r="206">
      <c r="D206" s="7"/>
    </row>
    <row r="207">
      <c r="D207" s="7"/>
    </row>
    <row r="208">
      <c r="D208" s="7"/>
    </row>
    <row r="209">
      <c r="D209" s="7"/>
    </row>
    <row r="210">
      <c r="D210" s="7"/>
    </row>
    <row r="211">
      <c r="D211" s="7"/>
    </row>
    <row r="212">
      <c r="D212" s="7"/>
    </row>
    <row r="213">
      <c r="D213" s="7"/>
    </row>
    <row r="214">
      <c r="D214" s="7"/>
    </row>
    <row r="215">
      <c r="D215" s="7"/>
    </row>
    <row r="216">
      <c r="D216" s="7"/>
    </row>
    <row r="217">
      <c r="D217" s="7"/>
    </row>
    <row r="218">
      <c r="D218" s="7"/>
    </row>
    <row r="219">
      <c r="D219" s="7"/>
    </row>
    <row r="220">
      <c r="D220" s="7"/>
    </row>
    <row r="221">
      <c r="D221" s="7"/>
    </row>
    <row r="222">
      <c r="D222" s="7"/>
    </row>
    <row r="223">
      <c r="D223" s="7"/>
    </row>
    <row r="224">
      <c r="D224" s="7"/>
    </row>
    <row r="225">
      <c r="D225" s="7"/>
    </row>
    <row r="226">
      <c r="D226" s="7"/>
    </row>
    <row r="227">
      <c r="D227" s="7"/>
    </row>
    <row r="228">
      <c r="D228" s="7"/>
    </row>
    <row r="229">
      <c r="D229" s="7"/>
    </row>
    <row r="230">
      <c r="D230" s="7"/>
    </row>
    <row r="231">
      <c r="D231" s="7"/>
    </row>
    <row r="232">
      <c r="D232" s="7"/>
    </row>
    <row r="233">
      <c r="D233" s="7"/>
    </row>
    <row r="234">
      <c r="D234" s="7"/>
    </row>
    <row r="235">
      <c r="D235" s="7"/>
    </row>
    <row r="236">
      <c r="D236" s="7"/>
    </row>
    <row r="237">
      <c r="D237" s="7"/>
    </row>
    <row r="238">
      <c r="D238" s="7"/>
    </row>
    <row r="239">
      <c r="D239" s="7"/>
    </row>
    <row r="240">
      <c r="D240" s="7"/>
    </row>
    <row r="241">
      <c r="D241" s="7"/>
    </row>
    <row r="242">
      <c r="D242" s="7"/>
    </row>
    <row r="243">
      <c r="D243" s="7"/>
    </row>
    <row r="244">
      <c r="D244" s="7"/>
    </row>
    <row r="245">
      <c r="D245" s="7"/>
    </row>
    <row r="246">
      <c r="D246" s="7"/>
    </row>
    <row r="247">
      <c r="D247" s="7"/>
    </row>
    <row r="248">
      <c r="D248" s="7"/>
    </row>
    <row r="249">
      <c r="D249" s="7"/>
    </row>
    <row r="250">
      <c r="D250" s="7"/>
    </row>
    <row r="251">
      <c r="D251" s="7"/>
    </row>
    <row r="252">
      <c r="D252" s="7"/>
    </row>
    <row r="253">
      <c r="D253" s="7"/>
    </row>
    <row r="254">
      <c r="D254" s="7"/>
    </row>
    <row r="255">
      <c r="D255" s="7"/>
    </row>
    <row r="256">
      <c r="D256" s="7"/>
    </row>
    <row r="257">
      <c r="D257" s="7"/>
    </row>
    <row r="258">
      <c r="D258" s="7"/>
    </row>
    <row r="259">
      <c r="D259" s="7"/>
    </row>
    <row r="260">
      <c r="D260" s="7"/>
    </row>
    <row r="261">
      <c r="D261" s="7"/>
    </row>
    <row r="262">
      <c r="D262" s="7"/>
    </row>
    <row r="263">
      <c r="D263" s="7"/>
    </row>
    <row r="264">
      <c r="D264" s="7"/>
    </row>
    <row r="265">
      <c r="D265" s="7"/>
    </row>
    <row r="266">
      <c r="D266" s="7"/>
    </row>
    <row r="267">
      <c r="D267" s="7"/>
    </row>
    <row r="268">
      <c r="D268" s="7"/>
    </row>
    <row r="269">
      <c r="D269" s="7"/>
    </row>
    <row r="270">
      <c r="D270" s="7"/>
    </row>
    <row r="271">
      <c r="D271" s="7"/>
    </row>
    <row r="272">
      <c r="D272" s="7"/>
    </row>
    <row r="273">
      <c r="D273" s="7"/>
    </row>
    <row r="274">
      <c r="D274" s="7"/>
    </row>
    <row r="275">
      <c r="D275" s="7"/>
    </row>
    <row r="276">
      <c r="D276" s="7"/>
    </row>
    <row r="277">
      <c r="D277" s="7"/>
    </row>
    <row r="278">
      <c r="D278" s="7"/>
    </row>
    <row r="279">
      <c r="D279" s="7"/>
    </row>
    <row r="280">
      <c r="D280" s="7"/>
    </row>
    <row r="281">
      <c r="D281" s="7"/>
    </row>
    <row r="282">
      <c r="D282" s="7"/>
    </row>
    <row r="283">
      <c r="D283" s="7"/>
    </row>
    <row r="284">
      <c r="D284" s="7"/>
    </row>
    <row r="285">
      <c r="D285" s="7"/>
    </row>
    <row r="286">
      <c r="D286" s="7"/>
    </row>
    <row r="287">
      <c r="D287" s="7"/>
    </row>
    <row r="288">
      <c r="D288" s="7"/>
    </row>
    <row r="289">
      <c r="D289" s="7"/>
    </row>
    <row r="290">
      <c r="D290" s="7"/>
    </row>
    <row r="291">
      <c r="D291" s="7"/>
    </row>
    <row r="292">
      <c r="D292" s="7"/>
    </row>
    <row r="293">
      <c r="D293" s="7"/>
    </row>
    <row r="294">
      <c r="D294" s="7"/>
    </row>
    <row r="295">
      <c r="D295" s="7"/>
    </row>
    <row r="296">
      <c r="D296" s="7"/>
    </row>
    <row r="297">
      <c r="D297" s="7"/>
    </row>
    <row r="298">
      <c r="D298" s="7"/>
    </row>
    <row r="299">
      <c r="D299" s="7"/>
    </row>
    <row r="300">
      <c r="D300" s="7"/>
    </row>
    <row r="301">
      <c r="D301" s="7"/>
    </row>
    <row r="302">
      <c r="D302" s="7"/>
    </row>
    <row r="303">
      <c r="D303" s="7"/>
    </row>
    <row r="304">
      <c r="D304" s="7"/>
    </row>
    <row r="305">
      <c r="D305" s="7"/>
    </row>
    <row r="306">
      <c r="D306" s="7"/>
    </row>
    <row r="307">
      <c r="D307" s="7"/>
    </row>
    <row r="308">
      <c r="D308" s="7"/>
    </row>
    <row r="309">
      <c r="D309" s="7"/>
    </row>
    <row r="310">
      <c r="D310" s="7"/>
    </row>
    <row r="311">
      <c r="D311" s="7"/>
    </row>
    <row r="312">
      <c r="D312" s="7"/>
    </row>
    <row r="313">
      <c r="D313" s="7"/>
    </row>
    <row r="314">
      <c r="D314" s="7"/>
    </row>
    <row r="315">
      <c r="D315" s="7"/>
    </row>
    <row r="316">
      <c r="D316" s="7"/>
    </row>
    <row r="317">
      <c r="D317" s="7"/>
    </row>
    <row r="318">
      <c r="D318" s="7"/>
    </row>
    <row r="319">
      <c r="D319" s="7"/>
    </row>
    <row r="320">
      <c r="D320" s="7"/>
    </row>
    <row r="321">
      <c r="D321" s="7"/>
    </row>
    <row r="322">
      <c r="D322" s="7"/>
    </row>
    <row r="323">
      <c r="D323" s="7"/>
    </row>
    <row r="324">
      <c r="D324" s="7"/>
    </row>
    <row r="325">
      <c r="D325" s="7"/>
    </row>
    <row r="326">
      <c r="D326" s="7"/>
    </row>
    <row r="327">
      <c r="D327" s="7"/>
    </row>
    <row r="328">
      <c r="D328" s="7"/>
    </row>
    <row r="329">
      <c r="D329" s="7"/>
    </row>
    <row r="330">
      <c r="D330" s="7"/>
    </row>
    <row r="331">
      <c r="D331" s="7"/>
    </row>
    <row r="332">
      <c r="D332" s="7"/>
    </row>
    <row r="333">
      <c r="D333" s="7"/>
    </row>
    <row r="334">
      <c r="D334" s="7"/>
    </row>
    <row r="335">
      <c r="D335" s="7"/>
    </row>
    <row r="336">
      <c r="D336" s="7"/>
    </row>
    <row r="337">
      <c r="D337" s="7"/>
    </row>
    <row r="338">
      <c r="D338" s="7"/>
    </row>
    <row r="339">
      <c r="D339" s="7"/>
    </row>
    <row r="340">
      <c r="D340" s="7"/>
    </row>
    <row r="341">
      <c r="D341" s="7"/>
    </row>
    <row r="342">
      <c r="D342" s="7"/>
    </row>
    <row r="343">
      <c r="D343" s="7"/>
    </row>
    <row r="344">
      <c r="D344" s="7"/>
    </row>
    <row r="345">
      <c r="D345" s="7"/>
    </row>
    <row r="346">
      <c r="D346" s="7"/>
    </row>
    <row r="347">
      <c r="D347" s="7"/>
    </row>
    <row r="348">
      <c r="D348" s="7"/>
    </row>
    <row r="349">
      <c r="D349" s="7"/>
    </row>
    <row r="350">
      <c r="D350" s="7"/>
    </row>
    <row r="351">
      <c r="D351" s="7"/>
    </row>
    <row r="352">
      <c r="D352" s="7"/>
    </row>
    <row r="353">
      <c r="D353" s="7"/>
    </row>
    <row r="354">
      <c r="D354" s="7"/>
    </row>
    <row r="355">
      <c r="D355" s="7"/>
    </row>
    <row r="356">
      <c r="D356" s="7"/>
    </row>
    <row r="357">
      <c r="D357" s="7"/>
    </row>
    <row r="358">
      <c r="D358" s="7"/>
    </row>
    <row r="359">
      <c r="D359" s="7"/>
    </row>
    <row r="360">
      <c r="D360" s="7"/>
    </row>
    <row r="361">
      <c r="D361" s="7"/>
    </row>
    <row r="362">
      <c r="D362" s="7"/>
    </row>
    <row r="363">
      <c r="D363" s="7"/>
    </row>
    <row r="364">
      <c r="D364" s="7"/>
    </row>
    <row r="365">
      <c r="D365" s="7"/>
    </row>
    <row r="366">
      <c r="D366" s="7"/>
    </row>
    <row r="367">
      <c r="D367" s="7"/>
    </row>
    <row r="368">
      <c r="D368" s="7"/>
    </row>
    <row r="369">
      <c r="D369" s="7"/>
    </row>
    <row r="370">
      <c r="D370" s="7"/>
    </row>
    <row r="371">
      <c r="D371" s="7"/>
    </row>
    <row r="372">
      <c r="D372" s="7"/>
    </row>
    <row r="373">
      <c r="D373" s="7"/>
    </row>
    <row r="374">
      <c r="D374" s="7"/>
    </row>
    <row r="375">
      <c r="D375" s="7"/>
    </row>
    <row r="376">
      <c r="D376" s="7"/>
    </row>
    <row r="377">
      <c r="D377" s="7"/>
    </row>
    <row r="378">
      <c r="D378" s="7"/>
    </row>
    <row r="379">
      <c r="D379" s="7"/>
    </row>
    <row r="380">
      <c r="D380" s="7"/>
    </row>
    <row r="381">
      <c r="D381" s="7"/>
    </row>
    <row r="382">
      <c r="D382" s="7"/>
    </row>
    <row r="383">
      <c r="D383" s="7"/>
    </row>
    <row r="384">
      <c r="D384" s="7"/>
    </row>
    <row r="385">
      <c r="D385" s="7"/>
    </row>
    <row r="386">
      <c r="D386" s="7"/>
    </row>
    <row r="387">
      <c r="D387" s="7"/>
    </row>
    <row r="388">
      <c r="D388" s="7"/>
    </row>
    <row r="389">
      <c r="D389" s="7"/>
    </row>
    <row r="390">
      <c r="D390" s="7"/>
    </row>
    <row r="391">
      <c r="D391" s="7"/>
    </row>
    <row r="392">
      <c r="D392" s="7"/>
    </row>
    <row r="393">
      <c r="D393" s="7"/>
    </row>
    <row r="394">
      <c r="D394" s="7"/>
    </row>
    <row r="395">
      <c r="D395" s="7"/>
    </row>
    <row r="396">
      <c r="D396" s="7"/>
    </row>
    <row r="397">
      <c r="D397" s="7"/>
    </row>
    <row r="398">
      <c r="D398" s="7"/>
    </row>
    <row r="399">
      <c r="D399" s="7"/>
    </row>
    <row r="400">
      <c r="D400" s="7"/>
    </row>
    <row r="401">
      <c r="D401" s="7"/>
    </row>
    <row r="402">
      <c r="D402" s="7"/>
    </row>
    <row r="403">
      <c r="D403" s="7"/>
    </row>
    <row r="404">
      <c r="D404" s="7"/>
    </row>
    <row r="405">
      <c r="D405" s="7"/>
    </row>
    <row r="406">
      <c r="D406" s="7"/>
    </row>
    <row r="407">
      <c r="D407" s="7"/>
    </row>
    <row r="408">
      <c r="D408" s="7"/>
    </row>
    <row r="409">
      <c r="D409" s="7"/>
    </row>
    <row r="410">
      <c r="D410" s="7"/>
    </row>
    <row r="411">
      <c r="D411" s="7"/>
    </row>
    <row r="412">
      <c r="D412" s="7"/>
    </row>
    <row r="413">
      <c r="D413" s="7"/>
    </row>
    <row r="414">
      <c r="D414" s="7"/>
    </row>
    <row r="415">
      <c r="D415" s="7"/>
    </row>
    <row r="416">
      <c r="D416" s="7"/>
    </row>
    <row r="417">
      <c r="D417" s="7"/>
    </row>
    <row r="418">
      <c r="D418" s="7"/>
    </row>
    <row r="419">
      <c r="D419" s="7"/>
    </row>
    <row r="420">
      <c r="D420" s="7"/>
    </row>
    <row r="421">
      <c r="D421" s="7"/>
    </row>
    <row r="422">
      <c r="D422" s="7"/>
    </row>
    <row r="423">
      <c r="D423" s="7"/>
    </row>
    <row r="424">
      <c r="D424" s="7"/>
    </row>
    <row r="425">
      <c r="D425" s="7"/>
    </row>
    <row r="426">
      <c r="D426" s="7"/>
    </row>
    <row r="427">
      <c r="D427" s="7"/>
    </row>
    <row r="428">
      <c r="D428" s="7"/>
    </row>
    <row r="429">
      <c r="D429" s="7"/>
    </row>
    <row r="430">
      <c r="D430" s="7"/>
    </row>
    <row r="431">
      <c r="D431" s="7"/>
    </row>
    <row r="432">
      <c r="D432" s="7"/>
    </row>
    <row r="433">
      <c r="D433" s="7"/>
    </row>
    <row r="434">
      <c r="D434" s="7"/>
    </row>
    <row r="435">
      <c r="D435" s="7"/>
    </row>
    <row r="436">
      <c r="D436" s="7"/>
    </row>
    <row r="437">
      <c r="D437" s="7"/>
    </row>
    <row r="438">
      <c r="D438" s="7"/>
    </row>
    <row r="439">
      <c r="D439" s="7"/>
    </row>
    <row r="440">
      <c r="D440" s="7"/>
    </row>
    <row r="441">
      <c r="D441" s="7"/>
    </row>
    <row r="442">
      <c r="D442" s="7"/>
    </row>
    <row r="443">
      <c r="D443" s="7"/>
    </row>
    <row r="444">
      <c r="D444" s="7"/>
    </row>
    <row r="445">
      <c r="D445" s="7"/>
    </row>
    <row r="446">
      <c r="D446" s="7"/>
    </row>
    <row r="447">
      <c r="D447" s="7"/>
    </row>
    <row r="448">
      <c r="D448" s="7"/>
    </row>
    <row r="449">
      <c r="D449" s="7"/>
    </row>
    <row r="450">
      <c r="D450" s="7"/>
    </row>
    <row r="451">
      <c r="D451" s="7"/>
    </row>
    <row r="452">
      <c r="D452" s="7"/>
    </row>
    <row r="453">
      <c r="D453" s="7"/>
    </row>
    <row r="454">
      <c r="D454" s="7"/>
    </row>
    <row r="455">
      <c r="D455" s="7"/>
    </row>
    <row r="456">
      <c r="D456" s="7"/>
    </row>
    <row r="457">
      <c r="D457" s="7"/>
    </row>
    <row r="458">
      <c r="D458" s="7"/>
    </row>
    <row r="459">
      <c r="D459" s="7"/>
    </row>
    <row r="460">
      <c r="D460" s="7"/>
    </row>
    <row r="461">
      <c r="D461" s="7"/>
    </row>
    <row r="462">
      <c r="D462" s="7"/>
    </row>
    <row r="463">
      <c r="D463" s="7"/>
    </row>
    <row r="464">
      <c r="D464" s="7"/>
    </row>
    <row r="465">
      <c r="D465" s="7"/>
    </row>
    <row r="466">
      <c r="D466" s="7"/>
    </row>
    <row r="467">
      <c r="D467" s="7"/>
    </row>
    <row r="468">
      <c r="D468" s="7"/>
    </row>
    <row r="469">
      <c r="D469" s="7"/>
    </row>
    <row r="470">
      <c r="D470" s="7"/>
    </row>
    <row r="471">
      <c r="D471" s="7"/>
    </row>
    <row r="472">
      <c r="D472" s="7"/>
    </row>
    <row r="473">
      <c r="D473" s="7"/>
    </row>
    <row r="474">
      <c r="D474" s="7"/>
    </row>
    <row r="475">
      <c r="D475" s="7"/>
    </row>
    <row r="476">
      <c r="D476" s="7"/>
    </row>
    <row r="477">
      <c r="D477" s="7"/>
    </row>
    <row r="478">
      <c r="D478" s="7"/>
    </row>
    <row r="479">
      <c r="D479" s="7"/>
    </row>
    <row r="480">
      <c r="D480" s="7"/>
    </row>
    <row r="481">
      <c r="D481" s="7"/>
    </row>
    <row r="482">
      <c r="D482" s="7"/>
    </row>
    <row r="483">
      <c r="D483" s="7"/>
    </row>
    <row r="484">
      <c r="D484" s="7"/>
    </row>
    <row r="485">
      <c r="D485" s="7"/>
    </row>
    <row r="486">
      <c r="D486" s="7"/>
    </row>
    <row r="487">
      <c r="D487" s="7"/>
    </row>
    <row r="488">
      <c r="D488" s="7"/>
    </row>
    <row r="489">
      <c r="D489" s="7"/>
    </row>
    <row r="490">
      <c r="D490" s="7"/>
    </row>
    <row r="491">
      <c r="D491" s="7"/>
    </row>
    <row r="492">
      <c r="D492" s="7"/>
    </row>
    <row r="493">
      <c r="D493" s="7"/>
    </row>
    <row r="494">
      <c r="D494" s="7"/>
    </row>
    <row r="495">
      <c r="D495" s="7"/>
    </row>
    <row r="496">
      <c r="D496" s="7"/>
    </row>
    <row r="497">
      <c r="D497" s="7"/>
    </row>
    <row r="498">
      <c r="D498" s="7"/>
    </row>
    <row r="499">
      <c r="D499" s="7"/>
    </row>
    <row r="500">
      <c r="D500" s="7"/>
    </row>
    <row r="501">
      <c r="D501" s="7"/>
    </row>
    <row r="502">
      <c r="D502" s="7"/>
    </row>
    <row r="503">
      <c r="D503" s="7"/>
    </row>
    <row r="504">
      <c r="D504" s="7"/>
    </row>
    <row r="505">
      <c r="D505" s="7"/>
    </row>
    <row r="506">
      <c r="D506" s="7"/>
    </row>
    <row r="507">
      <c r="D507" s="7"/>
    </row>
    <row r="508">
      <c r="D508" s="7"/>
    </row>
    <row r="509">
      <c r="D509" s="7"/>
    </row>
    <row r="510">
      <c r="D510" s="7"/>
    </row>
    <row r="511">
      <c r="D511" s="7"/>
    </row>
    <row r="512">
      <c r="D512" s="7"/>
    </row>
    <row r="513">
      <c r="D513" s="7"/>
    </row>
    <row r="514">
      <c r="D514" s="7"/>
    </row>
    <row r="515">
      <c r="D515" s="7"/>
    </row>
    <row r="516">
      <c r="D516" s="7"/>
    </row>
    <row r="517">
      <c r="D517" s="7"/>
    </row>
    <row r="518">
      <c r="D518" s="7"/>
    </row>
    <row r="519">
      <c r="D519" s="7"/>
    </row>
    <row r="520">
      <c r="D520" s="7"/>
    </row>
    <row r="521">
      <c r="D521" s="7"/>
    </row>
    <row r="522">
      <c r="D522" s="7"/>
    </row>
    <row r="523">
      <c r="D523" s="7"/>
    </row>
    <row r="524">
      <c r="D524" s="7"/>
    </row>
    <row r="525">
      <c r="D525" s="7"/>
    </row>
    <row r="526">
      <c r="D526" s="7"/>
    </row>
    <row r="527">
      <c r="D527" s="7"/>
    </row>
    <row r="528">
      <c r="D528" s="7"/>
    </row>
    <row r="529">
      <c r="D529" s="7"/>
    </row>
    <row r="530">
      <c r="D530" s="7"/>
    </row>
    <row r="531">
      <c r="D531" s="7"/>
    </row>
    <row r="532">
      <c r="D532" s="7"/>
    </row>
    <row r="533">
      <c r="D533" s="7"/>
    </row>
    <row r="534">
      <c r="D534" s="7"/>
    </row>
    <row r="535">
      <c r="D535" s="7"/>
    </row>
    <row r="536">
      <c r="D536" s="7"/>
    </row>
    <row r="537">
      <c r="D537" s="7"/>
    </row>
    <row r="538">
      <c r="D538" s="7"/>
    </row>
    <row r="539">
      <c r="D539" s="7"/>
    </row>
    <row r="540">
      <c r="D540" s="7"/>
    </row>
    <row r="541">
      <c r="D541" s="7"/>
    </row>
    <row r="542">
      <c r="D542" s="7"/>
    </row>
    <row r="543">
      <c r="D543" s="7"/>
    </row>
    <row r="544">
      <c r="D544" s="7"/>
    </row>
    <row r="545">
      <c r="D545" s="7"/>
    </row>
    <row r="546">
      <c r="D546" s="7"/>
    </row>
    <row r="547">
      <c r="D547" s="7"/>
    </row>
    <row r="548">
      <c r="D548" s="7"/>
    </row>
    <row r="549">
      <c r="D549" s="7"/>
    </row>
    <row r="550">
      <c r="D550" s="7"/>
    </row>
    <row r="551">
      <c r="D551" s="7"/>
    </row>
    <row r="552">
      <c r="D552" s="7"/>
    </row>
    <row r="553">
      <c r="D553" s="7"/>
    </row>
    <row r="554">
      <c r="D554" s="7"/>
    </row>
    <row r="555">
      <c r="D555" s="7"/>
    </row>
    <row r="556">
      <c r="D556" s="7"/>
    </row>
    <row r="557">
      <c r="D557" s="7"/>
    </row>
    <row r="558">
      <c r="D558" s="7"/>
    </row>
    <row r="559">
      <c r="D559" s="7"/>
    </row>
    <row r="560">
      <c r="D560" s="7"/>
    </row>
    <row r="561">
      <c r="D561" s="7"/>
    </row>
    <row r="562">
      <c r="D562" s="7"/>
    </row>
    <row r="563">
      <c r="D563" s="7"/>
    </row>
    <row r="564">
      <c r="D564" s="7"/>
    </row>
    <row r="565">
      <c r="D565" s="7"/>
    </row>
    <row r="566">
      <c r="D566" s="7"/>
    </row>
    <row r="567">
      <c r="D567" s="7"/>
    </row>
    <row r="568">
      <c r="D568" s="7"/>
    </row>
    <row r="569">
      <c r="D569" s="7"/>
    </row>
    <row r="570">
      <c r="D570" s="7"/>
    </row>
    <row r="571">
      <c r="D571" s="7"/>
    </row>
    <row r="572">
      <c r="D572" s="7"/>
    </row>
    <row r="573">
      <c r="D573" s="7"/>
    </row>
    <row r="574">
      <c r="D574" s="7"/>
    </row>
    <row r="575">
      <c r="D575" s="7"/>
    </row>
    <row r="576">
      <c r="D576" s="7"/>
    </row>
    <row r="577">
      <c r="D577" s="7"/>
    </row>
    <row r="578">
      <c r="D578" s="7"/>
    </row>
    <row r="579">
      <c r="D579" s="7"/>
    </row>
    <row r="580">
      <c r="D580" s="7"/>
    </row>
    <row r="581">
      <c r="D581" s="7"/>
    </row>
    <row r="582">
      <c r="D582" s="7"/>
    </row>
    <row r="583">
      <c r="D583" s="7"/>
    </row>
    <row r="584">
      <c r="D584" s="7"/>
    </row>
    <row r="585">
      <c r="D585" s="7"/>
    </row>
    <row r="586">
      <c r="D586" s="7"/>
    </row>
    <row r="587">
      <c r="D587" s="7"/>
    </row>
    <row r="588">
      <c r="D588" s="7"/>
    </row>
    <row r="589">
      <c r="D589" s="7"/>
    </row>
    <row r="590">
      <c r="D590" s="7"/>
    </row>
    <row r="591">
      <c r="D591" s="7"/>
    </row>
    <row r="592">
      <c r="D592" s="7"/>
    </row>
    <row r="593">
      <c r="D593" s="7"/>
    </row>
    <row r="594">
      <c r="D594" s="7"/>
    </row>
    <row r="595">
      <c r="D595" s="7"/>
    </row>
    <row r="596">
      <c r="D596" s="7"/>
    </row>
    <row r="597">
      <c r="D597" s="7"/>
    </row>
    <row r="598">
      <c r="D598" s="7"/>
    </row>
    <row r="599">
      <c r="D599" s="7"/>
    </row>
    <row r="600">
      <c r="D600" s="7"/>
    </row>
    <row r="601">
      <c r="D601" s="7"/>
    </row>
    <row r="602">
      <c r="D602" s="7"/>
    </row>
    <row r="603">
      <c r="D603" s="7"/>
    </row>
    <row r="604">
      <c r="D604" s="7"/>
    </row>
    <row r="605">
      <c r="D605" s="7"/>
    </row>
    <row r="606">
      <c r="D606" s="7"/>
    </row>
    <row r="607">
      <c r="D607" s="7"/>
    </row>
    <row r="608">
      <c r="D608" s="7"/>
    </row>
    <row r="609">
      <c r="D609" s="7"/>
    </row>
    <row r="610">
      <c r="D610" s="7"/>
    </row>
    <row r="611">
      <c r="D611" s="7"/>
    </row>
    <row r="612">
      <c r="D612" s="7"/>
    </row>
    <row r="613">
      <c r="D613" s="7"/>
    </row>
    <row r="614">
      <c r="D614" s="7"/>
    </row>
    <row r="615">
      <c r="D615" s="7"/>
    </row>
    <row r="616">
      <c r="D616" s="7"/>
    </row>
    <row r="617">
      <c r="D617" s="7"/>
    </row>
    <row r="618">
      <c r="D618" s="7"/>
    </row>
    <row r="619">
      <c r="D619" s="7"/>
    </row>
    <row r="620">
      <c r="D620" s="7"/>
    </row>
    <row r="621">
      <c r="D621" s="7"/>
    </row>
    <row r="622">
      <c r="D622" s="7"/>
    </row>
    <row r="623">
      <c r="D623" s="7"/>
    </row>
    <row r="624">
      <c r="D624" s="7"/>
    </row>
    <row r="625">
      <c r="D625" s="7"/>
    </row>
    <row r="626">
      <c r="D626" s="7"/>
    </row>
    <row r="627">
      <c r="D627" s="7"/>
    </row>
    <row r="628">
      <c r="D628" s="7"/>
    </row>
    <row r="629">
      <c r="D629" s="7"/>
    </row>
    <row r="630">
      <c r="D630" s="7"/>
    </row>
    <row r="631">
      <c r="D631" s="7"/>
    </row>
    <row r="632">
      <c r="D632" s="7"/>
    </row>
    <row r="633">
      <c r="D633" s="7"/>
    </row>
    <row r="634">
      <c r="D634" s="7"/>
    </row>
    <row r="635">
      <c r="D635" s="7"/>
    </row>
    <row r="636">
      <c r="D636" s="7"/>
    </row>
    <row r="637">
      <c r="D637" s="7"/>
    </row>
    <row r="638">
      <c r="D638" s="7"/>
    </row>
    <row r="639">
      <c r="D639" s="7"/>
    </row>
    <row r="640">
      <c r="D640" s="7"/>
    </row>
    <row r="641">
      <c r="D641" s="7"/>
    </row>
    <row r="642">
      <c r="D642" s="7"/>
    </row>
    <row r="643">
      <c r="D643" s="7"/>
    </row>
    <row r="644">
      <c r="D644" s="7"/>
    </row>
    <row r="645">
      <c r="D645" s="7"/>
    </row>
    <row r="646">
      <c r="D646" s="7"/>
    </row>
    <row r="647">
      <c r="D647" s="7"/>
    </row>
    <row r="648">
      <c r="D648" s="7"/>
    </row>
    <row r="649">
      <c r="D649" s="7"/>
    </row>
    <row r="650">
      <c r="D650" s="7"/>
    </row>
    <row r="651">
      <c r="D651" s="7"/>
    </row>
    <row r="652">
      <c r="D652" s="7"/>
    </row>
    <row r="653">
      <c r="D653" s="7"/>
    </row>
    <row r="654">
      <c r="D654" s="7"/>
    </row>
    <row r="655">
      <c r="D655" s="7"/>
    </row>
    <row r="656">
      <c r="D656" s="7"/>
    </row>
    <row r="657">
      <c r="D657" s="7"/>
    </row>
    <row r="658">
      <c r="D658" s="7"/>
    </row>
    <row r="659">
      <c r="D659" s="7"/>
    </row>
    <row r="660">
      <c r="D660" s="7"/>
    </row>
    <row r="661">
      <c r="D661" s="7"/>
    </row>
    <row r="662">
      <c r="D662" s="7"/>
    </row>
    <row r="663">
      <c r="D663" s="7"/>
    </row>
    <row r="664">
      <c r="D664" s="7"/>
    </row>
    <row r="665">
      <c r="D665" s="7"/>
    </row>
    <row r="666">
      <c r="D666" s="7"/>
    </row>
    <row r="667">
      <c r="D667" s="7"/>
    </row>
    <row r="668">
      <c r="D668" s="7"/>
    </row>
    <row r="669">
      <c r="D669" s="7"/>
    </row>
    <row r="670">
      <c r="D670" s="7"/>
    </row>
    <row r="671">
      <c r="D671" s="7"/>
    </row>
    <row r="672">
      <c r="D672" s="7"/>
    </row>
    <row r="673">
      <c r="D673" s="7"/>
    </row>
    <row r="674">
      <c r="D674" s="7"/>
    </row>
    <row r="675">
      <c r="D675" s="7"/>
    </row>
    <row r="676">
      <c r="D676" s="7"/>
    </row>
    <row r="677">
      <c r="D677" s="7"/>
    </row>
    <row r="678">
      <c r="D678" s="7"/>
    </row>
    <row r="679">
      <c r="D679" s="7"/>
    </row>
    <row r="680">
      <c r="D680" s="7"/>
    </row>
    <row r="681">
      <c r="D681" s="7"/>
    </row>
    <row r="682">
      <c r="D682" s="7"/>
    </row>
    <row r="683">
      <c r="D683" s="7"/>
    </row>
    <row r="684">
      <c r="D684" s="7"/>
    </row>
    <row r="685">
      <c r="D685" s="7"/>
    </row>
    <row r="686">
      <c r="D686" s="7"/>
    </row>
    <row r="687">
      <c r="D687" s="7"/>
    </row>
    <row r="688">
      <c r="D688" s="7"/>
    </row>
    <row r="689">
      <c r="D689" s="7"/>
    </row>
    <row r="690">
      <c r="D690" s="7"/>
    </row>
    <row r="691">
      <c r="D691" s="7"/>
    </row>
    <row r="692">
      <c r="D692" s="7"/>
    </row>
    <row r="693">
      <c r="D693" s="7"/>
    </row>
    <row r="694">
      <c r="D694" s="7"/>
    </row>
    <row r="695">
      <c r="D695" s="7"/>
    </row>
    <row r="696">
      <c r="D696" s="7"/>
    </row>
    <row r="697">
      <c r="D697" s="7"/>
    </row>
    <row r="698">
      <c r="D698" s="7"/>
    </row>
    <row r="699">
      <c r="D699" s="7"/>
    </row>
    <row r="700">
      <c r="D700" s="7"/>
    </row>
    <row r="701">
      <c r="D701" s="7"/>
    </row>
    <row r="702">
      <c r="D702" s="7"/>
    </row>
    <row r="703">
      <c r="D703" s="7"/>
    </row>
    <row r="704">
      <c r="D704" s="7"/>
    </row>
    <row r="705">
      <c r="D705" s="7"/>
    </row>
    <row r="706">
      <c r="D706" s="7"/>
    </row>
    <row r="707">
      <c r="D707" s="7"/>
    </row>
    <row r="708">
      <c r="D708" s="7"/>
    </row>
    <row r="709">
      <c r="D709" s="7"/>
    </row>
    <row r="710">
      <c r="D710" s="7"/>
    </row>
    <row r="711">
      <c r="D711" s="7"/>
    </row>
    <row r="712">
      <c r="D712" s="7"/>
    </row>
    <row r="713">
      <c r="D713" s="7"/>
    </row>
    <row r="714">
      <c r="D714" s="7"/>
    </row>
    <row r="715">
      <c r="D715" s="7"/>
    </row>
    <row r="716">
      <c r="D716" s="7"/>
    </row>
    <row r="717">
      <c r="D717" s="7"/>
    </row>
    <row r="718">
      <c r="D718" s="7"/>
    </row>
    <row r="719">
      <c r="D719" s="7"/>
    </row>
    <row r="720">
      <c r="D720" s="7"/>
    </row>
    <row r="721">
      <c r="D721" s="7"/>
    </row>
    <row r="722">
      <c r="D722" s="7"/>
    </row>
    <row r="723">
      <c r="D723" s="7"/>
    </row>
    <row r="724">
      <c r="D724" s="7"/>
    </row>
    <row r="725">
      <c r="D725" s="7"/>
    </row>
    <row r="726">
      <c r="D726" s="7"/>
    </row>
    <row r="727">
      <c r="D727" s="7"/>
    </row>
    <row r="728">
      <c r="D728" s="7"/>
    </row>
    <row r="729">
      <c r="D729" s="7"/>
    </row>
    <row r="730">
      <c r="D730" s="7"/>
    </row>
    <row r="731">
      <c r="D731" s="7"/>
    </row>
    <row r="732">
      <c r="D732" s="7"/>
    </row>
    <row r="733">
      <c r="D733" s="7"/>
    </row>
    <row r="734">
      <c r="D734" s="7"/>
    </row>
    <row r="735">
      <c r="D735" s="7"/>
    </row>
    <row r="736">
      <c r="D736" s="7"/>
    </row>
    <row r="737">
      <c r="D737" s="7"/>
    </row>
    <row r="738">
      <c r="D738" s="7"/>
    </row>
    <row r="739">
      <c r="D739" s="7"/>
    </row>
    <row r="740">
      <c r="D740" s="7"/>
    </row>
    <row r="741">
      <c r="D741" s="7"/>
    </row>
    <row r="742">
      <c r="D742" s="7"/>
    </row>
    <row r="743">
      <c r="D743" s="7"/>
    </row>
    <row r="744">
      <c r="D744" s="7"/>
    </row>
    <row r="745">
      <c r="D745" s="7"/>
    </row>
    <row r="746">
      <c r="D746" s="7"/>
    </row>
    <row r="747">
      <c r="D747" s="7"/>
    </row>
    <row r="748">
      <c r="D748" s="7"/>
    </row>
    <row r="749">
      <c r="D749" s="7"/>
    </row>
    <row r="750">
      <c r="D750" s="7"/>
    </row>
    <row r="751">
      <c r="D751" s="7"/>
    </row>
    <row r="752">
      <c r="D752" s="7"/>
    </row>
    <row r="753">
      <c r="D753" s="7"/>
    </row>
    <row r="754">
      <c r="D754" s="7"/>
    </row>
    <row r="755">
      <c r="D755" s="7"/>
    </row>
    <row r="756">
      <c r="D756" s="7"/>
    </row>
    <row r="757">
      <c r="D757" s="7"/>
    </row>
    <row r="758">
      <c r="D758" s="7"/>
    </row>
    <row r="759">
      <c r="D759" s="7"/>
    </row>
    <row r="760">
      <c r="D760" s="7"/>
    </row>
    <row r="761">
      <c r="D761" s="7"/>
    </row>
    <row r="762">
      <c r="D762" s="7"/>
    </row>
    <row r="763">
      <c r="D763" s="7"/>
    </row>
    <row r="764">
      <c r="D764" s="7"/>
    </row>
    <row r="765">
      <c r="D765" s="7"/>
    </row>
    <row r="766">
      <c r="D766" s="7"/>
    </row>
    <row r="767">
      <c r="D767" s="7"/>
    </row>
    <row r="768">
      <c r="D768" s="7"/>
    </row>
    <row r="769">
      <c r="D769" s="7"/>
    </row>
    <row r="770">
      <c r="D770" s="7"/>
    </row>
    <row r="771">
      <c r="D771" s="7"/>
    </row>
    <row r="772">
      <c r="D772" s="7"/>
    </row>
    <row r="773">
      <c r="D773" s="7"/>
    </row>
    <row r="774">
      <c r="D774" s="7"/>
    </row>
    <row r="775">
      <c r="D775" s="7"/>
    </row>
    <row r="776">
      <c r="D776" s="7"/>
    </row>
    <row r="777">
      <c r="D777" s="7"/>
    </row>
    <row r="778">
      <c r="D778" s="7"/>
    </row>
    <row r="779">
      <c r="D779" s="7"/>
    </row>
    <row r="780">
      <c r="D780" s="7"/>
    </row>
    <row r="781">
      <c r="D781" s="7"/>
    </row>
    <row r="782">
      <c r="D782" s="7"/>
    </row>
    <row r="783">
      <c r="D783" s="7"/>
    </row>
    <row r="784">
      <c r="D784" s="7"/>
    </row>
    <row r="785">
      <c r="D785" s="7"/>
    </row>
    <row r="786">
      <c r="D786" s="7"/>
    </row>
    <row r="787">
      <c r="D787" s="7"/>
    </row>
    <row r="788">
      <c r="D788" s="7"/>
    </row>
    <row r="789">
      <c r="D789" s="7"/>
    </row>
    <row r="790">
      <c r="D790" s="7"/>
    </row>
    <row r="791">
      <c r="D791" s="7"/>
    </row>
    <row r="792">
      <c r="D792" s="7"/>
    </row>
    <row r="793">
      <c r="D793" s="7"/>
    </row>
    <row r="794">
      <c r="D794" s="7"/>
    </row>
    <row r="795">
      <c r="D795" s="7"/>
    </row>
    <row r="796">
      <c r="D796" s="7"/>
    </row>
    <row r="797">
      <c r="D797" s="7"/>
    </row>
    <row r="798">
      <c r="D798" s="7"/>
    </row>
    <row r="799">
      <c r="D799" s="7"/>
    </row>
    <row r="800">
      <c r="D800" s="7"/>
    </row>
    <row r="801">
      <c r="D801" s="7"/>
    </row>
    <row r="802">
      <c r="D802" s="7"/>
    </row>
    <row r="803">
      <c r="D803" s="7"/>
    </row>
    <row r="804">
      <c r="D804" s="7"/>
    </row>
    <row r="805">
      <c r="D805" s="7"/>
    </row>
    <row r="806">
      <c r="D806" s="7"/>
    </row>
    <row r="807">
      <c r="D807" s="7"/>
    </row>
    <row r="808">
      <c r="D808" s="7"/>
    </row>
    <row r="809">
      <c r="D809" s="7"/>
    </row>
    <row r="810">
      <c r="D810" s="7"/>
    </row>
    <row r="811">
      <c r="D811" s="7"/>
    </row>
    <row r="812">
      <c r="D812" s="7"/>
    </row>
    <row r="813">
      <c r="D813" s="7"/>
    </row>
    <row r="814">
      <c r="D814" s="7"/>
    </row>
    <row r="815">
      <c r="D815" s="7"/>
    </row>
    <row r="816">
      <c r="D816" s="7"/>
    </row>
    <row r="817">
      <c r="D817" s="7"/>
    </row>
    <row r="818">
      <c r="D818" s="7"/>
    </row>
    <row r="819">
      <c r="D819" s="7"/>
    </row>
    <row r="820">
      <c r="D820" s="7"/>
    </row>
    <row r="821">
      <c r="D821" s="7"/>
    </row>
    <row r="822">
      <c r="D822" s="7"/>
    </row>
    <row r="823">
      <c r="D823" s="7"/>
    </row>
    <row r="824">
      <c r="D824" s="7"/>
    </row>
    <row r="825">
      <c r="D825" s="7"/>
    </row>
    <row r="826">
      <c r="D826" s="7"/>
    </row>
    <row r="827">
      <c r="D827" s="7"/>
    </row>
    <row r="828">
      <c r="D828" s="7"/>
    </row>
    <row r="829">
      <c r="D829" s="7"/>
    </row>
    <row r="830">
      <c r="D830" s="7"/>
    </row>
    <row r="831">
      <c r="D831" s="7"/>
    </row>
    <row r="832">
      <c r="D832" s="7"/>
    </row>
    <row r="833">
      <c r="D833" s="7"/>
    </row>
    <row r="834">
      <c r="D834" s="7"/>
    </row>
    <row r="835">
      <c r="D835" s="7"/>
    </row>
    <row r="836">
      <c r="D836" s="7"/>
    </row>
    <row r="837">
      <c r="D837" s="7"/>
    </row>
    <row r="838">
      <c r="D838" s="7"/>
    </row>
    <row r="839">
      <c r="D839" s="7"/>
    </row>
    <row r="840">
      <c r="D840" s="7"/>
    </row>
    <row r="841">
      <c r="D841" s="7"/>
    </row>
    <row r="842">
      <c r="D842" s="7"/>
    </row>
    <row r="843">
      <c r="D843" s="7"/>
    </row>
    <row r="844">
      <c r="D844" s="7"/>
    </row>
    <row r="845">
      <c r="D845" s="7"/>
    </row>
    <row r="846">
      <c r="D846" s="7"/>
    </row>
    <row r="847">
      <c r="D847" s="7"/>
    </row>
    <row r="848">
      <c r="D848" s="7"/>
    </row>
    <row r="849">
      <c r="D849" s="7"/>
    </row>
    <row r="850">
      <c r="D850" s="7"/>
    </row>
    <row r="851">
      <c r="D851" s="7"/>
    </row>
    <row r="852">
      <c r="D852" s="7"/>
    </row>
    <row r="853">
      <c r="D853" s="7"/>
    </row>
    <row r="854">
      <c r="D854" s="7"/>
    </row>
    <row r="855">
      <c r="D855" s="7"/>
    </row>
    <row r="856">
      <c r="D856" s="7"/>
    </row>
    <row r="857">
      <c r="D857" s="7"/>
    </row>
    <row r="858">
      <c r="D858" s="7"/>
    </row>
    <row r="859">
      <c r="D859" s="7"/>
    </row>
    <row r="860">
      <c r="D860" s="7"/>
    </row>
    <row r="861">
      <c r="D861" s="7"/>
    </row>
    <row r="862">
      <c r="D862" s="7"/>
    </row>
    <row r="863">
      <c r="D863" s="7"/>
    </row>
    <row r="864">
      <c r="D864" s="7"/>
    </row>
    <row r="865">
      <c r="D865" s="7"/>
    </row>
    <row r="866">
      <c r="D866" s="7"/>
    </row>
    <row r="867">
      <c r="D867" s="7"/>
    </row>
    <row r="868">
      <c r="D868" s="7"/>
    </row>
    <row r="869">
      <c r="D869" s="7"/>
    </row>
    <row r="870">
      <c r="D870" s="7"/>
    </row>
    <row r="871">
      <c r="D871" s="7"/>
    </row>
    <row r="872">
      <c r="D872" s="7"/>
    </row>
    <row r="873">
      <c r="D873" s="7"/>
    </row>
    <row r="874">
      <c r="D874" s="7"/>
    </row>
    <row r="875">
      <c r="D875" s="7"/>
    </row>
    <row r="876">
      <c r="D876" s="7"/>
    </row>
    <row r="877">
      <c r="D877" s="7"/>
    </row>
    <row r="878">
      <c r="D878" s="7"/>
    </row>
    <row r="879">
      <c r="D879" s="7"/>
    </row>
    <row r="880">
      <c r="D880" s="7"/>
    </row>
    <row r="881">
      <c r="D881" s="7"/>
    </row>
    <row r="882">
      <c r="D882" s="7"/>
    </row>
    <row r="883">
      <c r="D883" s="7"/>
    </row>
    <row r="884">
      <c r="D884" s="7"/>
    </row>
    <row r="885">
      <c r="D885" s="7"/>
    </row>
    <row r="886">
      <c r="D886" s="7"/>
    </row>
    <row r="887">
      <c r="D887" s="7"/>
    </row>
    <row r="888">
      <c r="D888" s="7"/>
    </row>
    <row r="889">
      <c r="D889" s="7"/>
    </row>
    <row r="890">
      <c r="D890" s="7"/>
    </row>
    <row r="891">
      <c r="D891" s="7"/>
    </row>
    <row r="892">
      <c r="D892" s="7"/>
    </row>
    <row r="893">
      <c r="D893" s="7"/>
    </row>
    <row r="894">
      <c r="D894" s="7"/>
    </row>
    <row r="895">
      <c r="D895" s="7"/>
    </row>
    <row r="896">
      <c r="D896" s="7"/>
    </row>
    <row r="897">
      <c r="D897" s="7"/>
    </row>
    <row r="898">
      <c r="D898" s="7"/>
    </row>
    <row r="899">
      <c r="D899" s="7"/>
    </row>
    <row r="900">
      <c r="D900" s="7"/>
    </row>
    <row r="901">
      <c r="D901" s="7"/>
    </row>
    <row r="902">
      <c r="D902" s="7"/>
    </row>
    <row r="903">
      <c r="D903" s="7"/>
    </row>
    <row r="904">
      <c r="D904" s="7"/>
    </row>
    <row r="905">
      <c r="D905" s="7"/>
    </row>
    <row r="906">
      <c r="D906" s="7"/>
    </row>
    <row r="907">
      <c r="D907" s="7"/>
    </row>
    <row r="908">
      <c r="D908" s="7"/>
    </row>
    <row r="909">
      <c r="D909" s="7"/>
    </row>
    <row r="910">
      <c r="D910" s="7"/>
    </row>
    <row r="911">
      <c r="D911" s="7"/>
    </row>
    <row r="912">
      <c r="D912" s="7"/>
    </row>
    <row r="913">
      <c r="D913" s="7"/>
    </row>
    <row r="914">
      <c r="D914" s="7"/>
    </row>
    <row r="915">
      <c r="D915" s="7"/>
    </row>
    <row r="916">
      <c r="D916" s="7"/>
    </row>
    <row r="917">
      <c r="D917" s="7"/>
    </row>
    <row r="918">
      <c r="D918" s="7"/>
    </row>
    <row r="919">
      <c r="D919" s="7"/>
    </row>
    <row r="920">
      <c r="D920" s="7"/>
    </row>
    <row r="921">
      <c r="D921" s="7"/>
    </row>
    <row r="922">
      <c r="D922" s="7"/>
    </row>
    <row r="923">
      <c r="D923" s="7"/>
    </row>
    <row r="924">
      <c r="D924" s="7"/>
    </row>
    <row r="925">
      <c r="D925" s="7"/>
    </row>
    <row r="926">
      <c r="D926" s="7"/>
    </row>
    <row r="927">
      <c r="D927" s="7"/>
    </row>
    <row r="928">
      <c r="D928" s="7"/>
    </row>
    <row r="929">
      <c r="D929" s="7"/>
    </row>
    <row r="930">
      <c r="D930" s="7"/>
    </row>
    <row r="931">
      <c r="D931" s="7"/>
    </row>
    <row r="932">
      <c r="D932" s="7"/>
    </row>
    <row r="933">
      <c r="D933" s="7"/>
    </row>
    <row r="934">
      <c r="D934" s="7"/>
    </row>
    <row r="935">
      <c r="D935" s="7"/>
    </row>
    <row r="936">
      <c r="D936" s="7"/>
    </row>
    <row r="937">
      <c r="D937" s="7"/>
    </row>
    <row r="938">
      <c r="D938" s="7"/>
    </row>
    <row r="939">
      <c r="D939" s="7"/>
    </row>
    <row r="940">
      <c r="D940" s="7"/>
    </row>
    <row r="941">
      <c r="D941" s="7"/>
    </row>
    <row r="942">
      <c r="D942" s="7"/>
    </row>
    <row r="943">
      <c r="D943" s="7"/>
    </row>
    <row r="944">
      <c r="D944" s="7"/>
    </row>
    <row r="945">
      <c r="D945" s="7"/>
    </row>
    <row r="946">
      <c r="D946" s="7"/>
    </row>
    <row r="947">
      <c r="D947" s="7"/>
    </row>
    <row r="948">
      <c r="D948" s="7"/>
    </row>
    <row r="949">
      <c r="D949" s="7"/>
    </row>
    <row r="950">
      <c r="D950" s="7"/>
    </row>
    <row r="951">
      <c r="D951" s="7"/>
    </row>
    <row r="952">
      <c r="D952" s="7"/>
    </row>
    <row r="953">
      <c r="D953" s="7"/>
    </row>
    <row r="954">
      <c r="D954" s="7"/>
    </row>
    <row r="955">
      <c r="D955" s="7"/>
    </row>
    <row r="956">
      <c r="D956" s="7"/>
    </row>
    <row r="957">
      <c r="D957" s="7"/>
    </row>
    <row r="958">
      <c r="D958" s="7"/>
    </row>
    <row r="959">
      <c r="D959" s="7"/>
    </row>
    <row r="960">
      <c r="D960" s="7"/>
    </row>
    <row r="961">
      <c r="D961" s="7"/>
    </row>
    <row r="962">
      <c r="D962" s="7"/>
    </row>
    <row r="963">
      <c r="D963" s="7"/>
    </row>
    <row r="964">
      <c r="D964" s="7"/>
    </row>
    <row r="965">
      <c r="D965" s="7"/>
    </row>
    <row r="966">
      <c r="D966" s="7"/>
    </row>
    <row r="967">
      <c r="D967" s="7"/>
    </row>
    <row r="968">
      <c r="D968" s="7"/>
    </row>
    <row r="969">
      <c r="D969" s="7"/>
    </row>
    <row r="970">
      <c r="D970" s="7"/>
    </row>
    <row r="971">
      <c r="D971" s="7"/>
    </row>
    <row r="972">
      <c r="D972" s="7"/>
    </row>
    <row r="973">
      <c r="D973" s="7"/>
    </row>
    <row r="974">
      <c r="D974" s="7"/>
    </row>
    <row r="975">
      <c r="D975" s="7"/>
    </row>
    <row r="976">
      <c r="D976" s="7"/>
    </row>
    <row r="977">
      <c r="D977" s="7"/>
    </row>
    <row r="978">
      <c r="D978" s="7"/>
    </row>
    <row r="979">
      <c r="D979" s="7"/>
    </row>
    <row r="980">
      <c r="D980" s="7"/>
    </row>
    <row r="981">
      <c r="D981" s="7"/>
    </row>
    <row r="982">
      <c r="D982" s="7"/>
    </row>
    <row r="983">
      <c r="D983" s="7"/>
    </row>
    <row r="984">
      <c r="D984" s="7"/>
    </row>
    <row r="985">
      <c r="D985" s="7"/>
    </row>
    <row r="986">
      <c r="D986" s="7"/>
    </row>
    <row r="987">
      <c r="D987" s="7"/>
    </row>
    <row r="988">
      <c r="D988" s="7"/>
    </row>
    <row r="989">
      <c r="D989" s="7"/>
    </row>
    <row r="990">
      <c r="D990" s="7"/>
    </row>
    <row r="991">
      <c r="D991" s="7"/>
    </row>
    <row r="992">
      <c r="D992" s="7"/>
    </row>
    <row r="993">
      <c r="D993" s="7"/>
    </row>
    <row r="994">
      <c r="D994" s="7"/>
    </row>
  </sheetData>
  <mergeCells count="11">
    <mergeCell ref="A64:E64"/>
    <mergeCell ref="A66:E66"/>
    <mergeCell ref="A77:E77"/>
    <mergeCell ref="A91:E91"/>
    <mergeCell ref="A3:E3"/>
    <mergeCell ref="A11:E11"/>
    <mergeCell ref="A26:E26"/>
    <mergeCell ref="A27:E27"/>
    <mergeCell ref="A39:E39"/>
    <mergeCell ref="A43:E43"/>
    <mergeCell ref="A57:E57"/>
  </mergeCells>
  <printOptions gridLines="1" horizontalCentered="1"/>
  <pageMargins bottom="0.75" footer="0.0" header="0.0" left="0.25" right="0.25" top="0.75"/>
  <pageSetup paperSize="5"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7.0"/>
    <col customWidth="1" min="2" max="2" width="18.75"/>
    <col hidden="1" min="3" max="17" width="12.63"/>
    <col customWidth="1" hidden="1" min="18" max="18" width="12.63"/>
    <col customWidth="1" hidden="1" min="19" max="20" width="18.63"/>
    <col customWidth="1" min="22" max="22" width="65.0"/>
    <col hidden="1" min="23" max="25" width="12.63"/>
  </cols>
  <sheetData>
    <row r="1">
      <c r="A1" s="57" t="s">
        <v>1</v>
      </c>
      <c r="B1" s="58" t="s">
        <v>176</v>
      </c>
      <c r="C1" s="59"/>
      <c r="D1" s="60"/>
      <c r="E1" s="60"/>
      <c r="F1" s="60"/>
      <c r="G1" s="60"/>
      <c r="H1" s="60"/>
      <c r="I1" s="60"/>
      <c r="J1" s="60"/>
      <c r="K1" s="61"/>
      <c r="L1" s="62" t="s">
        <v>177</v>
      </c>
      <c r="M1" s="60"/>
      <c r="N1" s="61"/>
      <c r="O1" s="62" t="s">
        <v>178</v>
      </c>
      <c r="P1" s="60"/>
      <c r="Q1" s="61"/>
      <c r="R1" s="62" t="s">
        <v>179</v>
      </c>
      <c r="S1" s="60"/>
      <c r="T1" s="61"/>
      <c r="U1" s="63" t="s">
        <v>180</v>
      </c>
      <c r="V1" s="64"/>
      <c r="W1" s="64"/>
      <c r="X1" s="64"/>
      <c r="Y1" s="65"/>
    </row>
    <row r="2">
      <c r="A2" s="66" t="s">
        <v>6</v>
      </c>
      <c r="B2" s="67"/>
      <c r="C2" s="68" t="s">
        <v>181</v>
      </c>
      <c r="D2" s="69" t="s">
        <v>182</v>
      </c>
      <c r="E2" s="70" t="s">
        <v>183</v>
      </c>
      <c r="F2" s="70" t="s">
        <v>184</v>
      </c>
      <c r="G2" s="69" t="s">
        <v>185</v>
      </c>
      <c r="H2" s="69" t="s">
        <v>186</v>
      </c>
      <c r="I2" s="69" t="s">
        <v>187</v>
      </c>
      <c r="J2" s="70" t="s">
        <v>188</v>
      </c>
      <c r="K2" s="71" t="s">
        <v>189</v>
      </c>
      <c r="L2" s="72" t="s">
        <v>190</v>
      </c>
      <c r="M2" s="70" t="s">
        <v>191</v>
      </c>
      <c r="N2" s="73" t="s">
        <v>192</v>
      </c>
      <c r="O2" s="70" t="s">
        <v>193</v>
      </c>
      <c r="P2" s="70" t="s">
        <v>194</v>
      </c>
      <c r="Q2" s="73" t="s">
        <v>192</v>
      </c>
      <c r="R2" s="70" t="s">
        <v>195</v>
      </c>
      <c r="S2" s="70" t="s">
        <v>191</v>
      </c>
      <c r="T2" s="73" t="s">
        <v>192</v>
      </c>
      <c r="U2" s="70"/>
      <c r="V2" s="70"/>
      <c r="W2" s="70" t="s">
        <v>196</v>
      </c>
      <c r="X2" s="70" t="s">
        <v>197</v>
      </c>
      <c r="Y2" s="73" t="s">
        <v>198</v>
      </c>
    </row>
    <row r="3">
      <c r="A3" s="74" t="s">
        <v>28</v>
      </c>
      <c r="B3" s="75" t="s">
        <v>199</v>
      </c>
      <c r="C3" s="76"/>
      <c r="D3" s="76"/>
      <c r="E3" s="76"/>
      <c r="F3" s="76"/>
      <c r="G3" s="76"/>
      <c r="H3" s="76"/>
      <c r="I3" s="76"/>
      <c r="J3" s="76"/>
      <c r="K3" s="77"/>
      <c r="L3" s="78"/>
      <c r="M3" s="78"/>
      <c r="N3" s="79"/>
      <c r="O3" s="76"/>
      <c r="P3" s="76"/>
      <c r="Q3" s="77"/>
      <c r="R3" s="76"/>
      <c r="S3" s="76"/>
      <c r="T3" s="77"/>
      <c r="U3" s="80" t="s">
        <v>199</v>
      </c>
      <c r="V3" s="75"/>
      <c r="W3" s="81" t="s">
        <v>199</v>
      </c>
      <c r="X3" s="82"/>
      <c r="Y3" s="83"/>
    </row>
    <row r="4">
      <c r="A4" s="84" t="s">
        <v>200</v>
      </c>
      <c r="B4" s="85">
        <f t="shared" ref="B4:B5" si="1">115*1.026</f>
        <v>117.99</v>
      </c>
      <c r="C4" s="76"/>
      <c r="D4" s="76"/>
      <c r="E4" s="76"/>
      <c r="F4" s="76"/>
      <c r="G4" s="76"/>
      <c r="H4" s="76"/>
      <c r="I4" s="76"/>
      <c r="J4" s="76"/>
      <c r="K4" s="77"/>
      <c r="L4" s="86">
        <v>0.03</v>
      </c>
      <c r="M4" s="87">
        <f t="shared" ref="M4:M6" si="2">L4*B4</f>
        <v>3.5397</v>
      </c>
      <c r="N4" s="88">
        <f t="shared" ref="N4:N6" si="3">B4+M4</f>
        <v>121.5297</v>
      </c>
      <c r="O4" s="76"/>
      <c r="P4" s="76"/>
      <c r="Q4" s="77"/>
      <c r="R4" s="76"/>
      <c r="S4" s="76"/>
      <c r="T4" s="77"/>
      <c r="U4" s="87">
        <f t="shared" ref="U4:U6" si="4">N4</f>
        <v>121.5297</v>
      </c>
      <c r="V4" s="89"/>
      <c r="W4" s="90">
        <v>121.0</v>
      </c>
      <c r="X4" s="4"/>
      <c r="Y4" s="91"/>
    </row>
    <row r="5">
      <c r="A5" s="84" t="s">
        <v>201</v>
      </c>
      <c r="B5" s="85">
        <f t="shared" si="1"/>
        <v>117.99</v>
      </c>
      <c r="C5" s="76"/>
      <c r="D5" s="76"/>
      <c r="E5" s="76"/>
      <c r="F5" s="76"/>
      <c r="G5" s="76"/>
      <c r="H5" s="76"/>
      <c r="I5" s="76"/>
      <c r="J5" s="76"/>
      <c r="K5" s="77"/>
      <c r="L5" s="86">
        <v>0.03</v>
      </c>
      <c r="M5" s="87">
        <f t="shared" si="2"/>
        <v>3.5397</v>
      </c>
      <c r="N5" s="88">
        <f t="shared" si="3"/>
        <v>121.5297</v>
      </c>
      <c r="O5" s="76"/>
      <c r="P5" s="76"/>
      <c r="Q5" s="77"/>
      <c r="R5" s="76"/>
      <c r="S5" s="76"/>
      <c r="T5" s="77"/>
      <c r="U5" s="87">
        <f t="shared" si="4"/>
        <v>121.5297</v>
      </c>
      <c r="V5" s="89"/>
      <c r="W5" s="90">
        <v>121.0</v>
      </c>
      <c r="X5" s="82"/>
      <c r="Y5" s="83"/>
    </row>
    <row r="6">
      <c r="A6" s="74" t="s">
        <v>7</v>
      </c>
      <c r="B6" s="85">
        <v>99.95</v>
      </c>
      <c r="C6" s="76"/>
      <c r="D6" s="76"/>
      <c r="E6" s="76"/>
      <c r="F6" s="76"/>
      <c r="G6" s="76"/>
      <c r="H6" s="76"/>
      <c r="I6" s="76"/>
      <c r="J6" s="76"/>
      <c r="K6" s="77"/>
      <c r="L6" s="86">
        <v>0.03</v>
      </c>
      <c r="M6" s="87">
        <f t="shared" si="2"/>
        <v>2.9985</v>
      </c>
      <c r="N6" s="88">
        <f t="shared" si="3"/>
        <v>102.9485</v>
      </c>
      <c r="O6" s="76"/>
      <c r="P6" s="76"/>
      <c r="Q6" s="77"/>
      <c r="R6" s="76"/>
      <c r="S6" s="76"/>
      <c r="T6" s="77"/>
      <c r="U6" s="87">
        <f t="shared" si="4"/>
        <v>102.9485</v>
      </c>
      <c r="V6" s="85"/>
      <c r="W6" s="92">
        <v>99.95</v>
      </c>
      <c r="X6" s="4"/>
      <c r="Y6" s="93"/>
    </row>
    <row r="7">
      <c r="A7" s="74" t="s">
        <v>202</v>
      </c>
      <c r="B7" s="85">
        <v>79.0</v>
      </c>
      <c r="C7" s="76"/>
      <c r="D7" s="76"/>
      <c r="E7" s="76"/>
      <c r="F7" s="76"/>
      <c r="G7" s="76"/>
      <c r="H7" s="76"/>
      <c r="I7" s="76"/>
      <c r="J7" s="76"/>
      <c r="K7" s="77"/>
      <c r="L7" s="78"/>
      <c r="M7" s="78"/>
      <c r="N7" s="79"/>
      <c r="O7" s="76"/>
      <c r="P7" s="76"/>
      <c r="Q7" s="77"/>
      <c r="R7" s="76"/>
      <c r="S7" s="76"/>
      <c r="T7" s="77"/>
      <c r="U7" s="94" t="s">
        <v>203</v>
      </c>
      <c r="V7" s="95" t="s">
        <v>204</v>
      </c>
      <c r="W7" s="96">
        <v>79.0</v>
      </c>
      <c r="X7" s="82"/>
      <c r="Y7" s="83"/>
    </row>
    <row r="8">
      <c r="A8" s="74" t="s">
        <v>36</v>
      </c>
      <c r="B8" s="85">
        <v>99.95</v>
      </c>
      <c r="C8" s="76"/>
      <c r="D8" s="76"/>
      <c r="E8" s="76"/>
      <c r="F8" s="76"/>
      <c r="G8" s="76"/>
      <c r="H8" s="76"/>
      <c r="I8" s="76"/>
      <c r="J8" s="76"/>
      <c r="K8" s="77"/>
      <c r="L8" s="86">
        <v>0.03</v>
      </c>
      <c r="M8" s="87">
        <f t="shared" ref="M8:M10" si="5">L8*B8</f>
        <v>2.9985</v>
      </c>
      <c r="N8" s="88">
        <f t="shared" ref="N8:N10" si="6">B8+M8</f>
        <v>102.9485</v>
      </c>
      <c r="O8" s="76"/>
      <c r="P8" s="76"/>
      <c r="Q8" s="77"/>
      <c r="R8" s="76"/>
      <c r="S8" s="76"/>
      <c r="T8" s="77"/>
      <c r="U8" s="87">
        <f t="shared" ref="U8:U10" si="7">N8</f>
        <v>102.9485</v>
      </c>
      <c r="V8" s="85"/>
      <c r="W8" s="92">
        <v>99.95</v>
      </c>
      <c r="X8" s="4"/>
      <c r="Y8" s="91"/>
    </row>
    <row r="9">
      <c r="A9" s="74" t="s">
        <v>38</v>
      </c>
      <c r="B9" s="85">
        <f>115*1.026</f>
        <v>117.99</v>
      </c>
      <c r="C9" s="76"/>
      <c r="D9" s="76"/>
      <c r="E9" s="76"/>
      <c r="F9" s="76"/>
      <c r="G9" s="76"/>
      <c r="H9" s="76"/>
      <c r="I9" s="76"/>
      <c r="J9" s="76"/>
      <c r="K9" s="77"/>
      <c r="L9" s="86">
        <v>0.03</v>
      </c>
      <c r="M9" s="87">
        <f t="shared" si="5"/>
        <v>3.5397</v>
      </c>
      <c r="N9" s="88">
        <f t="shared" si="6"/>
        <v>121.5297</v>
      </c>
      <c r="O9" s="76"/>
      <c r="P9" s="76"/>
      <c r="Q9" s="77"/>
      <c r="R9" s="76"/>
      <c r="S9" s="76"/>
      <c r="T9" s="77"/>
      <c r="U9" s="87">
        <f t="shared" si="7"/>
        <v>121.5297</v>
      </c>
      <c r="V9" s="89"/>
      <c r="W9" s="90">
        <v>121.0</v>
      </c>
      <c r="X9" s="82"/>
      <c r="Y9" s="83"/>
    </row>
    <row r="10">
      <c r="A10" s="84" t="s">
        <v>205</v>
      </c>
      <c r="B10" s="85">
        <v>149.95</v>
      </c>
      <c r="C10" s="76"/>
      <c r="D10" s="76"/>
      <c r="E10" s="76"/>
      <c r="F10" s="76"/>
      <c r="G10" s="76"/>
      <c r="H10" s="76"/>
      <c r="I10" s="76"/>
      <c r="J10" s="76"/>
      <c r="K10" s="77"/>
      <c r="L10" s="86">
        <v>0.03</v>
      </c>
      <c r="M10" s="87">
        <f t="shared" si="5"/>
        <v>4.4985</v>
      </c>
      <c r="N10" s="88">
        <f t="shared" si="6"/>
        <v>154.4485</v>
      </c>
      <c r="O10" s="76"/>
      <c r="P10" s="76"/>
      <c r="Q10" s="77"/>
      <c r="R10" s="76"/>
      <c r="S10" s="76"/>
      <c r="T10" s="77"/>
      <c r="U10" s="87">
        <f t="shared" si="7"/>
        <v>154.4485</v>
      </c>
      <c r="V10" s="85"/>
      <c r="W10" s="92">
        <v>149.95</v>
      </c>
      <c r="X10" s="4"/>
      <c r="Y10" s="93"/>
    </row>
    <row r="11">
      <c r="A11" s="97" t="s">
        <v>206</v>
      </c>
      <c r="B11" s="85"/>
      <c r="C11" s="76"/>
      <c r="D11" s="76"/>
      <c r="E11" s="76"/>
      <c r="F11" s="76"/>
      <c r="G11" s="76"/>
      <c r="H11" s="76"/>
      <c r="I11" s="76"/>
      <c r="J11" s="76"/>
      <c r="K11" s="77"/>
      <c r="L11" s="86"/>
      <c r="M11" s="78"/>
      <c r="N11" s="79"/>
      <c r="O11" s="76"/>
      <c r="P11" s="76"/>
      <c r="Q11" s="77"/>
      <c r="R11" s="76"/>
      <c r="S11" s="76"/>
      <c r="T11" s="77"/>
      <c r="U11" s="98">
        <v>420.9</v>
      </c>
      <c r="V11" s="95" t="s">
        <v>207</v>
      </c>
      <c r="W11" s="96">
        <f>2*(W10)+W5</f>
        <v>420.9</v>
      </c>
      <c r="X11" s="82"/>
      <c r="Y11" s="93"/>
    </row>
    <row r="12">
      <c r="A12" s="99" t="s">
        <v>11</v>
      </c>
      <c r="B12" s="100"/>
      <c r="C12" s="100"/>
      <c r="D12" s="100"/>
      <c r="E12" s="100"/>
      <c r="F12" s="100"/>
      <c r="G12" s="100"/>
      <c r="H12" s="100"/>
      <c r="I12" s="100"/>
      <c r="J12" s="100"/>
      <c r="K12" s="100"/>
      <c r="L12" s="101"/>
      <c r="M12" s="101"/>
      <c r="N12" s="101"/>
      <c r="O12" s="100"/>
      <c r="P12" s="100"/>
      <c r="Q12" s="102"/>
      <c r="R12" s="100"/>
      <c r="S12" s="100"/>
      <c r="T12" s="102"/>
      <c r="U12" s="100"/>
      <c r="V12" s="100"/>
      <c r="W12" s="100"/>
      <c r="X12" s="100"/>
      <c r="Y12" s="102"/>
    </row>
    <row r="13">
      <c r="A13" s="74" t="s">
        <v>12</v>
      </c>
      <c r="B13" s="85">
        <v>117.99</v>
      </c>
      <c r="C13" s="76"/>
      <c r="D13" s="76"/>
      <c r="E13" s="76"/>
      <c r="F13" s="76"/>
      <c r="G13" s="76"/>
      <c r="H13" s="76"/>
      <c r="I13" s="76"/>
      <c r="J13" s="103">
        <f>105*1.03</f>
        <v>108.15</v>
      </c>
      <c r="K13" s="104">
        <f>120*1.03</f>
        <v>123.6</v>
      </c>
      <c r="L13" s="86">
        <v>0.03</v>
      </c>
      <c r="M13" s="87">
        <f t="shared" ref="M13:M26" si="8">L13*B13</f>
        <v>3.5397</v>
      </c>
      <c r="N13" s="88">
        <f t="shared" ref="N13:N26" si="9">B13+M13</f>
        <v>121.5297</v>
      </c>
      <c r="O13" s="94"/>
      <c r="P13" s="87"/>
      <c r="Q13" s="88"/>
      <c r="R13" s="78"/>
      <c r="S13" s="78"/>
      <c r="T13" s="79"/>
      <c r="U13" s="105">
        <v>121.52969999999999</v>
      </c>
      <c r="V13" s="89"/>
      <c r="W13" s="90">
        <v>121.0</v>
      </c>
      <c r="X13" s="106"/>
      <c r="Y13" s="107">
        <v>0.03</v>
      </c>
    </row>
    <row r="14">
      <c r="A14" s="74" t="s">
        <v>42</v>
      </c>
      <c r="B14" s="85">
        <v>995.0</v>
      </c>
      <c r="C14" s="76"/>
      <c r="D14" s="103">
        <f>400*1.03</f>
        <v>412</v>
      </c>
      <c r="E14" s="76"/>
      <c r="F14" s="103"/>
      <c r="G14" s="78"/>
      <c r="H14" s="103">
        <f>800*1.03</f>
        <v>824</v>
      </c>
      <c r="I14" s="94">
        <f>600*1.03</f>
        <v>618</v>
      </c>
      <c r="J14" s="103">
        <f>1050*1.03</f>
        <v>1081.5</v>
      </c>
      <c r="K14" s="104">
        <f>1600*1.03</f>
        <v>1648</v>
      </c>
      <c r="L14" s="86">
        <v>0.03</v>
      </c>
      <c r="M14" s="87">
        <f t="shared" si="8"/>
        <v>29.85</v>
      </c>
      <c r="N14" s="88">
        <f t="shared" si="9"/>
        <v>1024.85</v>
      </c>
      <c r="O14" s="94"/>
      <c r="P14" s="87"/>
      <c r="Q14" s="88"/>
      <c r="R14" s="78"/>
      <c r="S14" s="78"/>
      <c r="T14" s="79"/>
      <c r="U14" s="85">
        <v>995.0</v>
      </c>
      <c r="V14" s="108" t="s">
        <v>208</v>
      </c>
      <c r="W14" s="109">
        <v>995.0</v>
      </c>
      <c r="X14" s="110"/>
      <c r="Y14" s="73" t="s">
        <v>209</v>
      </c>
    </row>
    <row r="15">
      <c r="A15" s="74" t="s">
        <v>44</v>
      </c>
      <c r="B15" s="85">
        <v>175.0</v>
      </c>
      <c r="C15" s="76"/>
      <c r="D15" s="76"/>
      <c r="E15" s="76"/>
      <c r="F15" s="76"/>
      <c r="G15" s="76"/>
      <c r="H15" s="76"/>
      <c r="I15" s="87"/>
      <c r="J15" s="78"/>
      <c r="K15" s="77"/>
      <c r="L15" s="86">
        <v>0.03</v>
      </c>
      <c r="M15" s="87">
        <f t="shared" si="8"/>
        <v>5.25</v>
      </c>
      <c r="N15" s="88">
        <f t="shared" si="9"/>
        <v>180.25</v>
      </c>
      <c r="O15" s="94"/>
      <c r="P15" s="87"/>
      <c r="Q15" s="88"/>
      <c r="R15" s="78"/>
      <c r="S15" s="78"/>
      <c r="T15" s="79"/>
      <c r="U15" s="87">
        <f>N15</f>
        <v>180.25</v>
      </c>
      <c r="V15" s="85"/>
      <c r="W15" s="111">
        <f>W4*1.5</f>
        <v>181.5</v>
      </c>
      <c r="X15" s="106"/>
      <c r="Y15" s="112"/>
    </row>
    <row r="16">
      <c r="A16" s="74" t="s">
        <v>46</v>
      </c>
      <c r="B16" s="85">
        <v>995.0</v>
      </c>
      <c r="C16" s="76"/>
      <c r="D16" s="76"/>
      <c r="E16" s="76"/>
      <c r="F16" s="76"/>
      <c r="G16" s="76"/>
      <c r="H16" s="76"/>
      <c r="I16" s="87"/>
      <c r="J16" s="78"/>
      <c r="K16" s="77"/>
      <c r="L16" s="86">
        <v>0.03</v>
      </c>
      <c r="M16" s="87">
        <f t="shared" si="8"/>
        <v>29.85</v>
      </c>
      <c r="N16" s="88">
        <f t="shared" si="9"/>
        <v>1024.85</v>
      </c>
      <c r="O16" s="94"/>
      <c r="P16" s="87"/>
      <c r="Q16" s="88"/>
      <c r="R16" s="78"/>
      <c r="S16" s="78"/>
      <c r="T16" s="79"/>
      <c r="U16" s="85">
        <v>995.0</v>
      </c>
      <c r="V16" s="108" t="s">
        <v>208</v>
      </c>
      <c r="W16" s="92">
        <v>995.0</v>
      </c>
      <c r="X16" s="110"/>
      <c r="Y16" s="113"/>
    </row>
    <row r="17">
      <c r="A17" s="74" t="s">
        <v>14</v>
      </c>
      <c r="B17" s="85">
        <v>825.0</v>
      </c>
      <c r="C17" s="76"/>
      <c r="D17" s="103">
        <f>650*1.03</f>
        <v>669.5</v>
      </c>
      <c r="E17" s="76"/>
      <c r="F17" s="76"/>
      <c r="G17" s="103">
        <f>750*1.03</f>
        <v>772.5</v>
      </c>
      <c r="H17" s="76"/>
      <c r="I17" s="94">
        <f t="shared" ref="I17:I18" si="10">600*1.03</f>
        <v>618</v>
      </c>
      <c r="J17" s="78"/>
      <c r="K17" s="77"/>
      <c r="L17" s="86">
        <v>0.03</v>
      </c>
      <c r="M17" s="87">
        <f t="shared" si="8"/>
        <v>24.75</v>
      </c>
      <c r="N17" s="88">
        <f t="shared" si="9"/>
        <v>849.75</v>
      </c>
      <c r="O17" s="94"/>
      <c r="P17" s="87"/>
      <c r="Q17" s="88"/>
      <c r="R17" s="78"/>
      <c r="S17" s="78"/>
      <c r="T17" s="79"/>
      <c r="U17" s="87">
        <f t="shared" ref="U17:U26" si="11">N17</f>
        <v>849.75</v>
      </c>
      <c r="V17" s="89"/>
      <c r="W17" s="90">
        <v>845.0</v>
      </c>
      <c r="X17" s="106"/>
      <c r="Y17" s="112"/>
    </row>
    <row r="18">
      <c r="A18" s="74" t="s">
        <v>48</v>
      </c>
      <c r="B18" s="85">
        <v>675.0</v>
      </c>
      <c r="C18" s="76"/>
      <c r="D18" s="76"/>
      <c r="E18" s="76"/>
      <c r="F18" s="76"/>
      <c r="G18" s="76"/>
      <c r="H18" s="76"/>
      <c r="I18" s="94">
        <f t="shared" si="10"/>
        <v>618</v>
      </c>
      <c r="J18" s="78"/>
      <c r="K18" s="77"/>
      <c r="L18" s="86">
        <v>0.03</v>
      </c>
      <c r="M18" s="87">
        <f t="shared" si="8"/>
        <v>20.25</v>
      </c>
      <c r="N18" s="88">
        <f t="shared" si="9"/>
        <v>695.25</v>
      </c>
      <c r="O18" s="94"/>
      <c r="P18" s="87"/>
      <c r="Q18" s="88"/>
      <c r="R18" s="78"/>
      <c r="S18" s="78"/>
      <c r="T18" s="79"/>
      <c r="U18" s="87">
        <f t="shared" si="11"/>
        <v>695.25</v>
      </c>
      <c r="V18" s="89"/>
      <c r="W18" s="90">
        <v>685.0</v>
      </c>
      <c r="X18" s="110"/>
      <c r="Y18" s="114"/>
    </row>
    <row r="19">
      <c r="A19" s="74" t="s">
        <v>50</v>
      </c>
      <c r="B19" s="85">
        <v>795.0</v>
      </c>
      <c r="C19" s="76"/>
      <c r="D19" s="76"/>
      <c r="E19" s="76"/>
      <c r="F19" s="76"/>
      <c r="G19" s="76"/>
      <c r="H19" s="76"/>
      <c r="I19" s="87"/>
      <c r="J19" s="78"/>
      <c r="K19" s="77"/>
      <c r="L19" s="86">
        <v>0.03</v>
      </c>
      <c r="M19" s="87">
        <f t="shared" si="8"/>
        <v>23.85</v>
      </c>
      <c r="N19" s="88">
        <f t="shared" si="9"/>
        <v>818.85</v>
      </c>
      <c r="O19" s="94"/>
      <c r="P19" s="87"/>
      <c r="Q19" s="88"/>
      <c r="R19" s="78"/>
      <c r="S19" s="78"/>
      <c r="T19" s="79"/>
      <c r="U19" s="87">
        <f t="shared" si="11"/>
        <v>818.85</v>
      </c>
      <c r="V19" s="89"/>
      <c r="W19" s="90">
        <v>815.0</v>
      </c>
      <c r="X19" s="106"/>
      <c r="Y19" s="112"/>
    </row>
    <row r="20">
      <c r="A20" s="74" t="s">
        <v>52</v>
      </c>
      <c r="B20" s="85">
        <v>675.0</v>
      </c>
      <c r="C20" s="76"/>
      <c r="D20" s="76"/>
      <c r="E20" s="76"/>
      <c r="F20" s="103"/>
      <c r="G20" s="103">
        <f>750*1.03</f>
        <v>772.5</v>
      </c>
      <c r="H20" s="103">
        <f>650*1.03</f>
        <v>669.5</v>
      </c>
      <c r="I20" s="94"/>
      <c r="J20" s="103">
        <f>1050*1.03</f>
        <v>1081.5</v>
      </c>
      <c r="K20" s="104">
        <f>650*1.03</f>
        <v>669.5</v>
      </c>
      <c r="L20" s="86">
        <v>0.03</v>
      </c>
      <c r="M20" s="87">
        <f t="shared" si="8"/>
        <v>20.25</v>
      </c>
      <c r="N20" s="88">
        <f t="shared" si="9"/>
        <v>695.25</v>
      </c>
      <c r="O20" s="94"/>
      <c r="P20" s="87"/>
      <c r="Q20" s="88"/>
      <c r="R20" s="78"/>
      <c r="S20" s="78"/>
      <c r="T20" s="79"/>
      <c r="U20" s="87">
        <f t="shared" si="11"/>
        <v>695.25</v>
      </c>
      <c r="V20" s="89"/>
      <c r="W20" s="90">
        <v>685.0</v>
      </c>
      <c r="X20" s="110"/>
      <c r="Y20" s="114"/>
    </row>
    <row r="21">
      <c r="A21" s="74" t="s">
        <v>54</v>
      </c>
      <c r="B21" s="85">
        <v>895.0</v>
      </c>
      <c r="C21" s="76"/>
      <c r="D21" s="76"/>
      <c r="E21" s="76"/>
      <c r="F21" s="76"/>
      <c r="G21" s="76"/>
      <c r="H21" s="76"/>
      <c r="I21" s="87"/>
      <c r="J21" s="78"/>
      <c r="K21" s="77"/>
      <c r="L21" s="86">
        <v>0.03</v>
      </c>
      <c r="M21" s="87">
        <f t="shared" si="8"/>
        <v>26.85</v>
      </c>
      <c r="N21" s="88">
        <f t="shared" si="9"/>
        <v>921.85</v>
      </c>
      <c r="O21" s="94"/>
      <c r="P21" s="87"/>
      <c r="Q21" s="88"/>
      <c r="R21" s="78"/>
      <c r="S21" s="78"/>
      <c r="T21" s="79"/>
      <c r="U21" s="87">
        <f t="shared" si="11"/>
        <v>921.85</v>
      </c>
      <c r="V21" s="85"/>
      <c r="W21" s="96">
        <v>895.0</v>
      </c>
      <c r="X21" s="106"/>
      <c r="Y21" s="112"/>
    </row>
    <row r="22">
      <c r="A22" s="74" t="s">
        <v>56</v>
      </c>
      <c r="B22" s="85">
        <v>745.0</v>
      </c>
      <c r="C22" s="76"/>
      <c r="D22" s="76"/>
      <c r="E22" s="76"/>
      <c r="F22" s="76"/>
      <c r="G22" s="103">
        <f>750*1.03</f>
        <v>772.5</v>
      </c>
      <c r="H22" s="76"/>
      <c r="I22" s="94">
        <f>600*1.03</f>
        <v>618</v>
      </c>
      <c r="J22" s="103">
        <f>1050*1.03</f>
        <v>1081.5</v>
      </c>
      <c r="K22" s="104">
        <f t="shared" ref="K22:K23" si="12">650*1.03</f>
        <v>669.5</v>
      </c>
      <c r="L22" s="86">
        <v>0.03</v>
      </c>
      <c r="M22" s="87">
        <f t="shared" si="8"/>
        <v>22.35</v>
      </c>
      <c r="N22" s="88">
        <f t="shared" si="9"/>
        <v>767.35</v>
      </c>
      <c r="O22" s="94"/>
      <c r="P22" s="87"/>
      <c r="Q22" s="88"/>
      <c r="R22" s="78"/>
      <c r="S22" s="78"/>
      <c r="T22" s="79"/>
      <c r="U22" s="87">
        <f t="shared" si="11"/>
        <v>767.35</v>
      </c>
      <c r="V22" s="89"/>
      <c r="W22" s="90">
        <v>760.0</v>
      </c>
      <c r="X22" s="110"/>
      <c r="Y22" s="114"/>
    </row>
    <row r="23">
      <c r="A23" s="84" t="s">
        <v>210</v>
      </c>
      <c r="B23" s="85">
        <v>720.0</v>
      </c>
      <c r="C23" s="76"/>
      <c r="D23" s="76"/>
      <c r="E23" s="76"/>
      <c r="F23" s="76"/>
      <c r="G23" s="76"/>
      <c r="H23" s="76"/>
      <c r="I23" s="76"/>
      <c r="J23" s="76"/>
      <c r="K23" s="104">
        <f t="shared" si="12"/>
        <v>669.5</v>
      </c>
      <c r="L23" s="86">
        <v>0.03</v>
      </c>
      <c r="M23" s="87">
        <f t="shared" si="8"/>
        <v>21.6</v>
      </c>
      <c r="N23" s="88">
        <f t="shared" si="9"/>
        <v>741.6</v>
      </c>
      <c r="O23" s="94"/>
      <c r="P23" s="87"/>
      <c r="Q23" s="88"/>
      <c r="R23" s="78"/>
      <c r="S23" s="78"/>
      <c r="T23" s="79"/>
      <c r="U23" s="87">
        <f t="shared" si="11"/>
        <v>741.6</v>
      </c>
      <c r="V23" s="89"/>
      <c r="W23" s="90">
        <v>740.0</v>
      </c>
      <c r="X23" s="106"/>
      <c r="Y23" s="112"/>
    </row>
    <row r="24">
      <c r="A24" s="84" t="s">
        <v>211</v>
      </c>
      <c r="B24" s="85">
        <v>675.0</v>
      </c>
      <c r="C24" s="76"/>
      <c r="D24" s="76"/>
      <c r="E24" s="76"/>
      <c r="F24" s="76"/>
      <c r="G24" s="76"/>
      <c r="H24" s="76"/>
      <c r="I24" s="76"/>
      <c r="J24" s="76"/>
      <c r="K24" s="104">
        <f>725*1.03</f>
        <v>746.75</v>
      </c>
      <c r="L24" s="86">
        <v>0.03</v>
      </c>
      <c r="M24" s="87">
        <f t="shared" si="8"/>
        <v>20.25</v>
      </c>
      <c r="N24" s="88">
        <f t="shared" si="9"/>
        <v>695.25</v>
      </c>
      <c r="O24" s="94"/>
      <c r="P24" s="87"/>
      <c r="Q24" s="88"/>
      <c r="R24" s="78"/>
      <c r="S24" s="78"/>
      <c r="T24" s="79"/>
      <c r="U24" s="87">
        <f t="shared" si="11"/>
        <v>695.25</v>
      </c>
      <c r="V24" s="89"/>
      <c r="W24" s="90">
        <v>685.0</v>
      </c>
      <c r="X24" s="110"/>
      <c r="Y24" s="114"/>
    </row>
    <row r="25">
      <c r="A25" s="74" t="s">
        <v>62</v>
      </c>
      <c r="B25" s="85">
        <v>675.0</v>
      </c>
      <c r="C25" s="76"/>
      <c r="D25" s="76"/>
      <c r="E25" s="76"/>
      <c r="F25" s="76"/>
      <c r="G25" s="76"/>
      <c r="H25" s="76"/>
      <c r="I25" s="76"/>
      <c r="J25" s="76"/>
      <c r="K25" s="77"/>
      <c r="L25" s="86">
        <v>0.03</v>
      </c>
      <c r="M25" s="87">
        <f t="shared" si="8"/>
        <v>20.25</v>
      </c>
      <c r="N25" s="88">
        <f t="shared" si="9"/>
        <v>695.25</v>
      </c>
      <c r="O25" s="94"/>
      <c r="P25" s="87"/>
      <c r="Q25" s="88"/>
      <c r="R25" s="78"/>
      <c r="S25" s="78"/>
      <c r="T25" s="79"/>
      <c r="U25" s="87">
        <f t="shared" si="11"/>
        <v>695.25</v>
      </c>
      <c r="V25" s="89"/>
      <c r="W25" s="90">
        <v>685.0</v>
      </c>
      <c r="X25" s="106"/>
      <c r="Y25" s="112"/>
    </row>
    <row r="26">
      <c r="A26" s="74" t="s">
        <v>64</v>
      </c>
      <c r="B26" s="85">
        <v>825.0</v>
      </c>
      <c r="C26" s="76"/>
      <c r="D26" s="76"/>
      <c r="E26" s="76"/>
      <c r="F26" s="76"/>
      <c r="G26" s="76"/>
      <c r="H26" s="76"/>
      <c r="I26" s="76"/>
      <c r="J26" s="76"/>
      <c r="K26" s="77"/>
      <c r="L26" s="86">
        <v>0.03</v>
      </c>
      <c r="M26" s="87">
        <f t="shared" si="8"/>
        <v>24.75</v>
      </c>
      <c r="N26" s="88">
        <f t="shared" si="9"/>
        <v>849.75</v>
      </c>
      <c r="O26" s="94"/>
      <c r="P26" s="87"/>
      <c r="Q26" s="88"/>
      <c r="R26" s="78"/>
      <c r="S26" s="78"/>
      <c r="T26" s="79"/>
      <c r="U26" s="87">
        <f t="shared" si="11"/>
        <v>849.75</v>
      </c>
      <c r="V26" s="85"/>
      <c r="W26" s="92">
        <v>825.0</v>
      </c>
      <c r="X26" s="110"/>
      <c r="Y26" s="114"/>
    </row>
    <row r="27">
      <c r="A27" s="115" t="s">
        <v>16</v>
      </c>
      <c r="B27" s="116"/>
      <c r="C27" s="116"/>
      <c r="D27" s="116"/>
      <c r="E27" s="116"/>
      <c r="F27" s="116"/>
      <c r="G27" s="116"/>
      <c r="H27" s="116"/>
      <c r="I27" s="116"/>
      <c r="J27" s="116"/>
      <c r="K27" s="116"/>
      <c r="L27" s="117"/>
      <c r="M27" s="117"/>
      <c r="N27" s="117"/>
      <c r="O27" s="116"/>
      <c r="P27" s="116"/>
      <c r="Q27" s="118"/>
      <c r="R27" s="116"/>
      <c r="S27" s="116"/>
      <c r="T27" s="118"/>
      <c r="U27" s="116"/>
      <c r="V27" s="116"/>
      <c r="W27" s="116"/>
      <c r="X27" s="116"/>
      <c r="Y27" s="118"/>
    </row>
    <row r="28">
      <c r="A28" s="99" t="s">
        <v>66</v>
      </c>
      <c r="B28" s="100"/>
      <c r="C28" s="100"/>
      <c r="D28" s="100"/>
      <c r="E28" s="100"/>
      <c r="F28" s="100"/>
      <c r="G28" s="100"/>
      <c r="H28" s="100"/>
      <c r="I28" s="100"/>
      <c r="J28" s="100"/>
      <c r="K28" s="100"/>
      <c r="L28" s="119"/>
      <c r="M28" s="119"/>
      <c r="N28" s="119"/>
      <c r="O28" s="100"/>
      <c r="P28" s="100"/>
      <c r="Q28" s="102"/>
      <c r="R28" s="100"/>
      <c r="S28" s="100"/>
      <c r="T28" s="102"/>
      <c r="U28" s="100"/>
      <c r="V28" s="100"/>
      <c r="W28" s="100"/>
      <c r="X28" s="100"/>
      <c r="Y28" s="102"/>
    </row>
    <row r="29">
      <c r="A29" s="74" t="s">
        <v>67</v>
      </c>
      <c r="B29" s="85">
        <v>299.0</v>
      </c>
      <c r="C29" s="120"/>
      <c r="D29" s="94">
        <f>160*1.03</f>
        <v>164.8</v>
      </c>
      <c r="E29" s="76"/>
      <c r="F29" s="76"/>
      <c r="G29" s="87">
        <f>100+320*1.03</f>
        <v>429.6</v>
      </c>
      <c r="H29" s="76"/>
      <c r="I29" s="76"/>
      <c r="J29" s="76"/>
      <c r="K29" s="77"/>
      <c r="L29" s="86">
        <v>0.03</v>
      </c>
      <c r="M29" s="87">
        <f t="shared" ref="M29:M36" si="13">L29*B29</f>
        <v>8.97</v>
      </c>
      <c r="N29" s="88">
        <f t="shared" ref="N29:N36" si="14">B29+M29</f>
        <v>307.97</v>
      </c>
      <c r="O29" s="103">
        <v>3320.0</v>
      </c>
      <c r="P29" s="86">
        <v>0.1</v>
      </c>
      <c r="Q29" s="121">
        <f t="shared" ref="Q29:Q30" si="15">O29*P29</f>
        <v>332</v>
      </c>
      <c r="R29" s="78"/>
      <c r="S29" s="78"/>
      <c r="T29" s="79"/>
      <c r="U29" s="122">
        <f t="shared" ref="U29:U36" si="16">N29</f>
        <v>307.97</v>
      </c>
      <c r="V29" s="85"/>
      <c r="W29" s="96">
        <v>299.0</v>
      </c>
      <c r="X29" s="106"/>
      <c r="Y29" s="112"/>
    </row>
    <row r="30">
      <c r="A30" s="74" t="s">
        <v>69</v>
      </c>
      <c r="B30" s="85">
        <v>385.0</v>
      </c>
      <c r="C30" s="103"/>
      <c r="D30" s="76"/>
      <c r="E30" s="76"/>
      <c r="F30" s="103">
        <f>1400*1.03</f>
        <v>1442</v>
      </c>
      <c r="G30" s="76"/>
      <c r="H30" s="76"/>
      <c r="I30" s="123">
        <f>475+65+65*1.03</f>
        <v>606.95</v>
      </c>
      <c r="J30" s="76"/>
      <c r="K30" s="77"/>
      <c r="L30" s="86">
        <v>0.03</v>
      </c>
      <c r="M30" s="87">
        <f t="shared" si="13"/>
        <v>11.55</v>
      </c>
      <c r="N30" s="88">
        <f t="shared" si="14"/>
        <v>396.55</v>
      </c>
      <c r="O30" s="103">
        <v>5398.0</v>
      </c>
      <c r="P30" s="86">
        <v>0.1</v>
      </c>
      <c r="Q30" s="121">
        <f t="shared" si="15"/>
        <v>539.8</v>
      </c>
      <c r="R30" s="78"/>
      <c r="S30" s="78"/>
      <c r="T30" s="79"/>
      <c r="U30" s="122">
        <f t="shared" si="16"/>
        <v>396.55</v>
      </c>
      <c r="V30" s="94"/>
      <c r="W30" s="124">
        <v>399.0</v>
      </c>
      <c r="X30" s="110"/>
      <c r="Y30" s="113"/>
    </row>
    <row r="31">
      <c r="A31" s="74" t="s">
        <v>212</v>
      </c>
      <c r="B31" s="85">
        <v>399.0</v>
      </c>
      <c r="C31" s="76"/>
      <c r="D31" s="76"/>
      <c r="E31" s="76"/>
      <c r="F31" s="76"/>
      <c r="G31" s="76"/>
      <c r="H31" s="76"/>
      <c r="I31" s="76"/>
      <c r="J31" s="76"/>
      <c r="K31" s="77"/>
      <c r="L31" s="86">
        <v>0.03</v>
      </c>
      <c r="M31" s="87">
        <f t="shared" si="13"/>
        <v>11.97</v>
      </c>
      <c r="N31" s="88">
        <f t="shared" si="14"/>
        <v>410.97</v>
      </c>
      <c r="O31" s="122"/>
      <c r="P31" s="86"/>
      <c r="Q31" s="121"/>
      <c r="R31" s="78"/>
      <c r="S31" s="78"/>
      <c r="T31" s="79"/>
      <c r="U31" s="122">
        <f t="shared" si="16"/>
        <v>410.97</v>
      </c>
      <c r="V31" s="85"/>
      <c r="W31" s="96">
        <v>399.0</v>
      </c>
      <c r="X31" s="106"/>
      <c r="Y31" s="112"/>
    </row>
    <row r="32">
      <c r="A32" s="74" t="s">
        <v>213</v>
      </c>
      <c r="B32" s="85">
        <v>485.0</v>
      </c>
      <c r="C32" s="76"/>
      <c r="D32" s="76"/>
      <c r="E32" s="76"/>
      <c r="F32" s="76"/>
      <c r="G32" s="76"/>
      <c r="H32" s="76"/>
      <c r="I32" s="76"/>
      <c r="J32" s="76"/>
      <c r="K32" s="77"/>
      <c r="L32" s="86">
        <v>0.03</v>
      </c>
      <c r="M32" s="87">
        <f t="shared" si="13"/>
        <v>14.55</v>
      </c>
      <c r="N32" s="88">
        <f t="shared" si="14"/>
        <v>499.55</v>
      </c>
      <c r="O32" s="122"/>
      <c r="P32" s="86"/>
      <c r="Q32" s="121"/>
      <c r="R32" s="78"/>
      <c r="S32" s="78"/>
      <c r="T32" s="79"/>
      <c r="U32" s="122">
        <f t="shared" si="16"/>
        <v>499.55</v>
      </c>
      <c r="V32" s="94"/>
      <c r="W32" s="124">
        <v>499.0</v>
      </c>
      <c r="X32" s="110"/>
      <c r="Y32" s="114"/>
    </row>
    <row r="33">
      <c r="A33" s="74" t="s">
        <v>75</v>
      </c>
      <c r="B33" s="85">
        <v>65.0</v>
      </c>
      <c r="C33" s="76"/>
      <c r="D33" s="103">
        <f>85*1.03</f>
        <v>87.55</v>
      </c>
      <c r="E33" s="76"/>
      <c r="F33" s="76"/>
      <c r="G33" s="103">
        <f>160*1.03</f>
        <v>164.8</v>
      </c>
      <c r="H33" s="76"/>
      <c r="I33" s="94">
        <f>260/4*1.03</f>
        <v>66.95</v>
      </c>
      <c r="J33" s="87">
        <f>260/2*1.03</f>
        <v>133.9</v>
      </c>
      <c r="K33" s="77"/>
      <c r="L33" s="86">
        <v>0.03</v>
      </c>
      <c r="M33" s="87">
        <f t="shared" si="13"/>
        <v>1.95</v>
      </c>
      <c r="N33" s="88">
        <f t="shared" si="14"/>
        <v>66.95</v>
      </c>
      <c r="O33" s="103">
        <v>754.65</v>
      </c>
      <c r="P33" s="86">
        <v>0.1</v>
      </c>
      <c r="Q33" s="121">
        <f>O33*P33</f>
        <v>75.465</v>
      </c>
      <c r="R33" s="78"/>
      <c r="S33" s="78"/>
      <c r="T33" s="79"/>
      <c r="U33" s="122">
        <f t="shared" si="16"/>
        <v>66.95</v>
      </c>
      <c r="V33" s="85"/>
      <c r="W33" s="96">
        <v>65.0</v>
      </c>
      <c r="X33" s="106"/>
      <c r="Y33" s="112"/>
    </row>
    <row r="34">
      <c r="A34" s="74" t="s">
        <v>77</v>
      </c>
      <c r="B34" s="85">
        <v>99.0</v>
      </c>
      <c r="C34" s="76"/>
      <c r="D34" s="76"/>
      <c r="E34" s="76"/>
      <c r="F34" s="76"/>
      <c r="G34" s="76"/>
      <c r="H34" s="76"/>
      <c r="I34" s="94">
        <f>150*1.03</f>
        <v>154.5</v>
      </c>
      <c r="J34" s="76"/>
      <c r="K34" s="77"/>
      <c r="L34" s="86">
        <v>0.03</v>
      </c>
      <c r="M34" s="87">
        <f t="shared" si="13"/>
        <v>2.97</v>
      </c>
      <c r="N34" s="88">
        <f t="shared" si="14"/>
        <v>101.97</v>
      </c>
      <c r="O34" s="122"/>
      <c r="P34" s="86"/>
      <c r="Q34" s="121"/>
      <c r="R34" s="78"/>
      <c r="S34" s="78"/>
      <c r="T34" s="79"/>
      <c r="U34" s="122">
        <f t="shared" si="16"/>
        <v>101.97</v>
      </c>
      <c r="V34" s="89"/>
      <c r="W34" s="90">
        <v>109.0</v>
      </c>
      <c r="X34" s="110"/>
      <c r="Y34" s="114"/>
    </row>
    <row r="35">
      <c r="A35" s="74" t="s">
        <v>79</v>
      </c>
      <c r="B35" s="85">
        <v>35.0</v>
      </c>
      <c r="C35" s="76"/>
      <c r="D35" s="103">
        <f>75*1.03</f>
        <v>77.25</v>
      </c>
      <c r="E35" s="76"/>
      <c r="F35" s="76"/>
      <c r="G35" s="76"/>
      <c r="H35" s="76"/>
      <c r="I35" s="94">
        <f>140*1.03</f>
        <v>144.2</v>
      </c>
      <c r="J35" s="76"/>
      <c r="K35" s="77"/>
      <c r="L35" s="86">
        <v>0.03</v>
      </c>
      <c r="M35" s="87">
        <f t="shared" si="13"/>
        <v>1.05</v>
      </c>
      <c r="N35" s="88">
        <f t="shared" si="14"/>
        <v>36.05</v>
      </c>
      <c r="O35" s="103">
        <v>161.95</v>
      </c>
      <c r="P35" s="86">
        <v>0.1</v>
      </c>
      <c r="Q35" s="121">
        <f>O35*P35</f>
        <v>16.195</v>
      </c>
      <c r="R35" s="78"/>
      <c r="S35" s="78"/>
      <c r="T35" s="79"/>
      <c r="U35" s="122">
        <f t="shared" si="16"/>
        <v>36.05</v>
      </c>
      <c r="V35" s="85"/>
      <c r="W35" s="96">
        <v>35.0</v>
      </c>
      <c r="X35" s="106"/>
      <c r="Y35" s="112"/>
    </row>
    <row r="36">
      <c r="A36" s="74" t="s">
        <v>81</v>
      </c>
      <c r="B36" s="85">
        <v>75.0</v>
      </c>
      <c r="C36" s="76"/>
      <c r="D36" s="76"/>
      <c r="E36" s="76"/>
      <c r="F36" s="76"/>
      <c r="G36" s="76"/>
      <c r="H36" s="76"/>
      <c r="I36" s="76"/>
      <c r="J36" s="76"/>
      <c r="K36" s="77"/>
      <c r="L36" s="86">
        <v>0.03</v>
      </c>
      <c r="M36" s="87">
        <f t="shared" si="13"/>
        <v>2.25</v>
      </c>
      <c r="N36" s="88">
        <f t="shared" si="14"/>
        <v>77.25</v>
      </c>
      <c r="O36" s="122"/>
      <c r="P36" s="86"/>
      <c r="Q36" s="121"/>
      <c r="R36" s="78"/>
      <c r="S36" s="78"/>
      <c r="T36" s="79"/>
      <c r="U36" s="122">
        <f t="shared" si="16"/>
        <v>77.25</v>
      </c>
      <c r="V36" s="85"/>
      <c r="W36" s="92">
        <v>75.0</v>
      </c>
      <c r="X36" s="110"/>
      <c r="Y36" s="114"/>
    </row>
    <row r="37">
      <c r="A37" s="125" t="s">
        <v>214</v>
      </c>
      <c r="B37" s="85"/>
      <c r="C37" s="76"/>
      <c r="D37" s="76"/>
      <c r="E37" s="76"/>
      <c r="F37" s="76"/>
      <c r="G37" s="76"/>
      <c r="H37" s="76"/>
      <c r="I37" s="76"/>
      <c r="J37" s="76"/>
      <c r="K37" s="77"/>
      <c r="L37" s="86"/>
      <c r="M37" s="78"/>
      <c r="N37" s="79"/>
      <c r="O37" s="122"/>
      <c r="P37" s="86"/>
      <c r="Q37" s="121"/>
      <c r="R37" s="78"/>
      <c r="S37" s="78"/>
      <c r="T37" s="79"/>
      <c r="U37" s="126">
        <v>399.0</v>
      </c>
      <c r="V37" s="95" t="s">
        <v>207</v>
      </c>
      <c r="W37" s="90">
        <v>399.0</v>
      </c>
      <c r="X37" s="106"/>
      <c r="Y37" s="112"/>
    </row>
    <row r="38">
      <c r="A38" s="74" t="s">
        <v>83</v>
      </c>
      <c r="B38" s="85">
        <v>125.0</v>
      </c>
      <c r="C38" s="76"/>
      <c r="D38" s="103">
        <f>100*1.03</f>
        <v>103</v>
      </c>
      <c r="E38" s="76"/>
      <c r="F38" s="103"/>
      <c r="G38" s="76"/>
      <c r="H38" s="103">
        <f>300*1.03</f>
        <v>309</v>
      </c>
      <c r="I38" s="94">
        <f>425*1.03</f>
        <v>437.75</v>
      </c>
      <c r="J38" s="103">
        <f>175*1.03</f>
        <v>180.25</v>
      </c>
      <c r="K38" s="104">
        <f>706.5*1.03</f>
        <v>727.695</v>
      </c>
      <c r="L38" s="86">
        <v>0.03</v>
      </c>
      <c r="M38" s="87">
        <f t="shared" ref="M38:M40" si="17">L38*B38</f>
        <v>3.75</v>
      </c>
      <c r="N38" s="88">
        <f t="shared" ref="N38:N40" si="18">B38+M38</f>
        <v>128.75</v>
      </c>
      <c r="O38" s="103">
        <v>3676.0</v>
      </c>
      <c r="P38" s="86">
        <v>0.1</v>
      </c>
      <c r="Q38" s="121">
        <f t="shared" ref="Q38:Q40" si="19">O38*P38</f>
        <v>367.6</v>
      </c>
      <c r="R38" s="78"/>
      <c r="S38" s="78"/>
      <c r="T38" s="79"/>
      <c r="U38" s="122">
        <f t="shared" ref="U38:U40" si="20">N38</f>
        <v>128.75</v>
      </c>
      <c r="V38" s="94"/>
      <c r="W38" s="124">
        <v>135.0</v>
      </c>
      <c r="X38" s="110"/>
      <c r="Y38" s="114"/>
    </row>
    <row r="39">
      <c r="A39" s="74" t="s">
        <v>215</v>
      </c>
      <c r="B39" s="85">
        <v>29.0</v>
      </c>
      <c r="C39" s="76"/>
      <c r="D39" s="76"/>
      <c r="E39" s="76"/>
      <c r="F39" s="76"/>
      <c r="G39" s="76"/>
      <c r="H39" s="76"/>
      <c r="I39" s="76"/>
      <c r="J39" s="76"/>
      <c r="K39" s="77"/>
      <c r="L39" s="86">
        <v>0.03</v>
      </c>
      <c r="M39" s="87">
        <f t="shared" si="17"/>
        <v>0.87</v>
      </c>
      <c r="N39" s="88">
        <f t="shared" si="18"/>
        <v>29.87</v>
      </c>
      <c r="O39" s="103">
        <v>134.99</v>
      </c>
      <c r="P39" s="86">
        <v>0.1</v>
      </c>
      <c r="Q39" s="121">
        <f t="shared" si="19"/>
        <v>13.499</v>
      </c>
      <c r="R39" s="78"/>
      <c r="S39" s="78"/>
      <c r="T39" s="79"/>
      <c r="U39" s="122">
        <f t="shared" si="20"/>
        <v>29.87</v>
      </c>
      <c r="V39" s="85"/>
      <c r="W39" s="96">
        <v>29.0</v>
      </c>
      <c r="X39" s="106"/>
      <c r="Y39" s="112"/>
    </row>
    <row r="40">
      <c r="A40" s="74" t="s">
        <v>87</v>
      </c>
      <c r="B40" s="85">
        <v>45.0</v>
      </c>
      <c r="C40" s="76"/>
      <c r="D40" s="76"/>
      <c r="E40" s="76"/>
      <c r="F40" s="76"/>
      <c r="G40" s="76"/>
      <c r="H40" s="76"/>
      <c r="I40" s="76"/>
      <c r="J40" s="76"/>
      <c r="K40" s="77"/>
      <c r="L40" s="86">
        <v>0.03</v>
      </c>
      <c r="M40" s="87">
        <f t="shared" si="17"/>
        <v>1.35</v>
      </c>
      <c r="N40" s="88">
        <f t="shared" si="18"/>
        <v>46.35</v>
      </c>
      <c r="O40" s="103">
        <v>193.0</v>
      </c>
      <c r="P40" s="86">
        <v>0.1</v>
      </c>
      <c r="Q40" s="121">
        <f t="shared" si="19"/>
        <v>19.3</v>
      </c>
      <c r="R40" s="78"/>
      <c r="S40" s="78"/>
      <c r="T40" s="79"/>
      <c r="U40" s="122">
        <f t="shared" si="20"/>
        <v>46.35</v>
      </c>
      <c r="V40" s="85"/>
      <c r="W40" s="92">
        <v>45.0</v>
      </c>
      <c r="X40" s="110"/>
      <c r="Y40" s="114"/>
    </row>
    <row r="41">
      <c r="A41" s="115" t="s">
        <v>17</v>
      </c>
      <c r="B41" s="116"/>
      <c r="C41" s="116"/>
      <c r="D41" s="116"/>
      <c r="E41" s="116"/>
      <c r="F41" s="116"/>
      <c r="G41" s="116"/>
      <c r="H41" s="116"/>
      <c r="I41" s="116"/>
      <c r="J41" s="116"/>
      <c r="K41" s="116"/>
      <c r="L41" s="117"/>
      <c r="M41" s="117"/>
      <c r="N41" s="117"/>
      <c r="O41" s="116"/>
      <c r="P41" s="116"/>
      <c r="Q41" s="118"/>
      <c r="R41" s="116"/>
      <c r="S41" s="116"/>
      <c r="T41" s="118"/>
      <c r="U41" s="116"/>
      <c r="V41" s="116"/>
      <c r="W41" s="116"/>
      <c r="X41" s="116"/>
      <c r="Y41" s="118"/>
    </row>
    <row r="42">
      <c r="A42" s="74" t="s">
        <v>18</v>
      </c>
      <c r="B42" s="85">
        <v>395.0</v>
      </c>
      <c r="C42" s="76"/>
      <c r="D42" s="76"/>
      <c r="E42" s="76"/>
      <c r="F42" s="76"/>
      <c r="G42" s="103">
        <f>300+30*1.03</f>
        <v>330.9</v>
      </c>
      <c r="H42" s="76"/>
      <c r="I42" s="76"/>
      <c r="J42" s="103">
        <f>650*1.03</f>
        <v>669.5</v>
      </c>
      <c r="K42" s="77"/>
      <c r="L42" s="86">
        <v>0.03</v>
      </c>
      <c r="M42" s="87">
        <f t="shared" ref="M42:M44" si="21">L42*B42</f>
        <v>11.85</v>
      </c>
      <c r="N42" s="88">
        <f t="shared" ref="N42:N44" si="22">B42+M42</f>
        <v>406.85</v>
      </c>
      <c r="O42" s="103">
        <v>4562.0</v>
      </c>
      <c r="P42" s="86">
        <v>0.1</v>
      </c>
      <c r="Q42" s="121">
        <f t="shared" ref="Q42:Q44" si="23">O42*P42</f>
        <v>456.2</v>
      </c>
      <c r="R42" s="78"/>
      <c r="S42" s="78"/>
      <c r="T42" s="79"/>
      <c r="U42" s="122">
        <f t="shared" ref="U42:U44" si="24">N42</f>
        <v>406.85</v>
      </c>
      <c r="V42" s="94"/>
      <c r="W42" s="124">
        <v>405.0</v>
      </c>
      <c r="X42" s="110"/>
      <c r="Y42" s="114"/>
    </row>
    <row r="43">
      <c r="A43" s="74" t="s">
        <v>89</v>
      </c>
      <c r="B43" s="85">
        <v>429.0</v>
      </c>
      <c r="C43" s="76"/>
      <c r="D43" s="76"/>
      <c r="E43" s="76"/>
      <c r="F43" s="76"/>
      <c r="G43" s="76"/>
      <c r="H43" s="76"/>
      <c r="I43" s="76"/>
      <c r="J43" s="76"/>
      <c r="K43" s="77"/>
      <c r="L43" s="86">
        <v>0.03</v>
      </c>
      <c r="M43" s="87">
        <f t="shared" si="21"/>
        <v>12.87</v>
      </c>
      <c r="N43" s="88">
        <f t="shared" si="22"/>
        <v>441.87</v>
      </c>
      <c r="O43" s="103">
        <v>7119.0</v>
      </c>
      <c r="P43" s="86">
        <v>0.1</v>
      </c>
      <c r="Q43" s="121">
        <f t="shared" si="23"/>
        <v>711.9</v>
      </c>
      <c r="R43" s="78"/>
      <c r="S43" s="78"/>
      <c r="T43" s="79"/>
      <c r="U43" s="122">
        <f t="shared" si="24"/>
        <v>441.87</v>
      </c>
      <c r="V43" s="94"/>
      <c r="W43" s="124">
        <v>440.0</v>
      </c>
      <c r="X43" s="106"/>
      <c r="Y43" s="113"/>
    </row>
    <row r="44">
      <c r="A44" s="74" t="s">
        <v>20</v>
      </c>
      <c r="B44" s="85">
        <v>495.0</v>
      </c>
      <c r="C44" s="76"/>
      <c r="D44" s="76"/>
      <c r="E44" s="76"/>
      <c r="F44" s="76"/>
      <c r="G44" s="76"/>
      <c r="H44" s="76"/>
      <c r="I44" s="76"/>
      <c r="J44" s="76"/>
      <c r="K44" s="77"/>
      <c r="L44" s="86">
        <v>0.03</v>
      </c>
      <c r="M44" s="87">
        <f t="shared" si="21"/>
        <v>14.85</v>
      </c>
      <c r="N44" s="88">
        <f t="shared" si="22"/>
        <v>509.85</v>
      </c>
      <c r="O44" s="103">
        <v>2115.0</v>
      </c>
      <c r="P44" s="86">
        <v>0.1</v>
      </c>
      <c r="Q44" s="121">
        <f t="shared" si="23"/>
        <v>211.5</v>
      </c>
      <c r="R44" s="78"/>
      <c r="S44" s="78"/>
      <c r="T44" s="79"/>
      <c r="U44" s="122">
        <f t="shared" si="24"/>
        <v>509.85</v>
      </c>
      <c r="V44" s="85"/>
      <c r="W44" s="92">
        <v>495.0</v>
      </c>
      <c r="X44" s="110"/>
      <c r="Y44" s="114"/>
    </row>
    <row r="45">
      <c r="A45" s="127" t="s">
        <v>91</v>
      </c>
      <c r="B45" s="128"/>
      <c r="C45" s="128"/>
      <c r="D45" s="128"/>
      <c r="E45" s="128"/>
      <c r="F45" s="128"/>
      <c r="G45" s="128"/>
      <c r="H45" s="128"/>
      <c r="I45" s="128"/>
      <c r="J45" s="128"/>
      <c r="K45" s="128"/>
      <c r="L45" s="117"/>
      <c r="M45" s="117"/>
      <c r="N45" s="117"/>
      <c r="O45" s="128"/>
      <c r="P45" s="128"/>
      <c r="Q45" s="118"/>
      <c r="R45" s="116"/>
      <c r="S45" s="116"/>
      <c r="T45" s="118"/>
      <c r="U45" s="116"/>
      <c r="V45" s="116"/>
      <c r="W45" s="116"/>
      <c r="X45" s="116"/>
      <c r="Y45" s="118"/>
    </row>
    <row r="46">
      <c r="A46" s="74" t="s">
        <v>92</v>
      </c>
      <c r="B46" s="85">
        <v>55.0</v>
      </c>
      <c r="C46" s="76"/>
      <c r="D46" s="76"/>
      <c r="E46" s="76"/>
      <c r="F46" s="76"/>
      <c r="G46" s="76"/>
      <c r="H46" s="76"/>
      <c r="I46" s="76"/>
      <c r="J46" s="76"/>
      <c r="K46" s="77"/>
      <c r="L46" s="86">
        <v>0.03</v>
      </c>
      <c r="M46" s="87">
        <f t="shared" ref="M46:M55" si="25">L46*B46</f>
        <v>1.65</v>
      </c>
      <c r="N46" s="88">
        <f t="shared" ref="N46:N55" si="26">B46+M46</f>
        <v>56.65</v>
      </c>
      <c r="O46" s="87"/>
      <c r="P46" s="87"/>
      <c r="Q46" s="88"/>
      <c r="R46" s="78"/>
      <c r="S46" s="78"/>
      <c r="T46" s="79"/>
      <c r="U46" s="122">
        <f t="shared" ref="U46:U55" si="27">N46</f>
        <v>56.65</v>
      </c>
      <c r="V46" s="85"/>
      <c r="W46" s="109">
        <v>55.0</v>
      </c>
      <c r="X46" s="110"/>
      <c r="Y46" s="114"/>
    </row>
    <row r="47">
      <c r="A47" s="74" t="s">
        <v>94</v>
      </c>
      <c r="B47" s="85">
        <v>265.0</v>
      </c>
      <c r="C47" s="76"/>
      <c r="D47" s="76"/>
      <c r="E47" s="76"/>
      <c r="F47" s="76"/>
      <c r="G47" s="76"/>
      <c r="H47" s="76"/>
      <c r="I47" s="76"/>
      <c r="J47" s="76"/>
      <c r="K47" s="77"/>
      <c r="L47" s="86">
        <v>0.03</v>
      </c>
      <c r="M47" s="87">
        <f t="shared" si="25"/>
        <v>7.95</v>
      </c>
      <c r="N47" s="88">
        <f t="shared" si="26"/>
        <v>272.95</v>
      </c>
      <c r="O47" s="87"/>
      <c r="P47" s="87"/>
      <c r="Q47" s="88"/>
      <c r="R47" s="78"/>
      <c r="S47" s="78"/>
      <c r="T47" s="79"/>
      <c r="U47" s="122">
        <f t="shared" si="27"/>
        <v>272.95</v>
      </c>
      <c r="V47" s="89"/>
      <c r="W47" s="90">
        <v>300.0</v>
      </c>
      <c r="X47" s="106"/>
      <c r="Y47" s="112"/>
    </row>
    <row r="48">
      <c r="A48" s="74" t="s">
        <v>96</v>
      </c>
      <c r="B48" s="85">
        <v>450.0</v>
      </c>
      <c r="C48" s="76"/>
      <c r="D48" s="76"/>
      <c r="E48" s="76"/>
      <c r="F48" s="76"/>
      <c r="G48" s="76"/>
      <c r="H48" s="76"/>
      <c r="I48" s="76"/>
      <c r="J48" s="76"/>
      <c r="K48" s="77"/>
      <c r="L48" s="86">
        <v>0.03</v>
      </c>
      <c r="M48" s="87">
        <f t="shared" si="25"/>
        <v>13.5</v>
      </c>
      <c r="N48" s="88">
        <f t="shared" si="26"/>
        <v>463.5</v>
      </c>
      <c r="O48" s="129"/>
      <c r="P48" s="87"/>
      <c r="Q48" s="88"/>
      <c r="R48" s="78"/>
      <c r="S48" s="78"/>
      <c r="T48" s="79"/>
      <c r="U48" s="122">
        <f t="shared" si="27"/>
        <v>463.5</v>
      </c>
      <c r="V48" s="89"/>
      <c r="W48" s="90">
        <v>500.0</v>
      </c>
      <c r="X48" s="110"/>
      <c r="Y48" s="114"/>
    </row>
    <row r="49">
      <c r="A49" s="74" t="s">
        <v>98</v>
      </c>
      <c r="B49" s="85">
        <v>750.0</v>
      </c>
      <c r="C49" s="76"/>
      <c r="D49" s="76"/>
      <c r="E49" s="76"/>
      <c r="F49" s="76"/>
      <c r="G49" s="76"/>
      <c r="H49" s="76"/>
      <c r="I49" s="76"/>
      <c r="J49" s="76"/>
      <c r="K49" s="77"/>
      <c r="L49" s="86">
        <v>0.03</v>
      </c>
      <c r="M49" s="87">
        <f t="shared" si="25"/>
        <v>22.5</v>
      </c>
      <c r="N49" s="88">
        <f t="shared" si="26"/>
        <v>772.5</v>
      </c>
      <c r="O49" s="129"/>
      <c r="P49" s="87"/>
      <c r="Q49" s="88"/>
      <c r="R49" s="78"/>
      <c r="S49" s="78"/>
      <c r="T49" s="79"/>
      <c r="U49" s="122">
        <f t="shared" si="27"/>
        <v>772.5</v>
      </c>
      <c r="V49" s="89"/>
      <c r="W49" s="90">
        <v>850.0</v>
      </c>
      <c r="X49" s="106"/>
      <c r="Y49" s="112"/>
    </row>
    <row r="50">
      <c r="A50" s="74" t="s">
        <v>103</v>
      </c>
      <c r="B50" s="85">
        <v>75.0</v>
      </c>
      <c r="C50" s="76"/>
      <c r="D50" s="76"/>
      <c r="E50" s="76"/>
      <c r="F50" s="76"/>
      <c r="G50" s="76"/>
      <c r="H50" s="76"/>
      <c r="I50" s="76"/>
      <c r="J50" s="76"/>
      <c r="K50" s="77"/>
      <c r="L50" s="86">
        <v>0.03</v>
      </c>
      <c r="M50" s="87">
        <f t="shared" si="25"/>
        <v>2.25</v>
      </c>
      <c r="N50" s="88">
        <f t="shared" si="26"/>
        <v>77.25</v>
      </c>
      <c r="O50" s="87"/>
      <c r="P50" s="87"/>
      <c r="Q50" s="88"/>
      <c r="R50" s="78"/>
      <c r="S50" s="78"/>
      <c r="T50" s="79"/>
      <c r="U50" s="122">
        <f t="shared" si="27"/>
        <v>77.25</v>
      </c>
      <c r="V50" s="85"/>
      <c r="W50" s="109">
        <v>75.0</v>
      </c>
      <c r="X50" s="110"/>
      <c r="Y50" s="114"/>
    </row>
    <row r="51">
      <c r="A51" s="74" t="s">
        <v>105</v>
      </c>
      <c r="B51" s="85">
        <v>500.0</v>
      </c>
      <c r="C51" s="76"/>
      <c r="D51" s="76"/>
      <c r="E51" s="76"/>
      <c r="F51" s="76"/>
      <c r="G51" s="76"/>
      <c r="H51" s="76"/>
      <c r="I51" s="76"/>
      <c r="J51" s="76"/>
      <c r="K51" s="77"/>
      <c r="L51" s="86">
        <v>0.03</v>
      </c>
      <c r="M51" s="87">
        <f t="shared" si="25"/>
        <v>15</v>
      </c>
      <c r="N51" s="88">
        <f t="shared" si="26"/>
        <v>515</v>
      </c>
      <c r="O51" s="87"/>
      <c r="P51" s="87"/>
      <c r="Q51" s="88"/>
      <c r="R51" s="78"/>
      <c r="S51" s="78"/>
      <c r="T51" s="79"/>
      <c r="U51" s="122">
        <f t="shared" si="27"/>
        <v>515</v>
      </c>
      <c r="V51" s="85"/>
      <c r="W51" s="92">
        <v>500.0</v>
      </c>
      <c r="X51" s="106"/>
      <c r="Y51" s="112"/>
    </row>
    <row r="52">
      <c r="A52" s="74" t="s">
        <v>107</v>
      </c>
      <c r="B52" s="85">
        <v>850.0</v>
      </c>
      <c r="C52" s="76"/>
      <c r="D52" s="103">
        <f>525+275*1.03</f>
        <v>808.25</v>
      </c>
      <c r="E52" s="76"/>
      <c r="F52" s="94"/>
      <c r="G52" s="87">
        <f>25+200+250*1.03</f>
        <v>482.5</v>
      </c>
      <c r="H52" s="94">
        <f>175*1.03</f>
        <v>180.25</v>
      </c>
      <c r="I52" s="94">
        <f>500*1.03</f>
        <v>515</v>
      </c>
      <c r="J52" s="120"/>
      <c r="K52" s="77"/>
      <c r="L52" s="86">
        <v>0.03</v>
      </c>
      <c r="M52" s="87">
        <f t="shared" si="25"/>
        <v>25.5</v>
      </c>
      <c r="N52" s="88">
        <f t="shared" si="26"/>
        <v>875.5</v>
      </c>
      <c r="O52" s="87"/>
      <c r="P52" s="87"/>
      <c r="Q52" s="88"/>
      <c r="R52" s="78"/>
      <c r="S52" s="78"/>
      <c r="T52" s="79"/>
      <c r="U52" s="87">
        <f t="shared" si="27"/>
        <v>875.5</v>
      </c>
      <c r="V52" s="89">
        <v>750.0</v>
      </c>
      <c r="W52" s="90">
        <v>750.0</v>
      </c>
      <c r="X52" s="110"/>
      <c r="Y52" s="114"/>
    </row>
    <row r="53">
      <c r="A53" s="130" t="s">
        <v>216</v>
      </c>
      <c r="B53" s="85">
        <v>120.0</v>
      </c>
      <c r="C53" s="76"/>
      <c r="D53" s="76"/>
      <c r="E53" s="76"/>
      <c r="F53" s="103"/>
      <c r="G53" s="76"/>
      <c r="H53" s="103">
        <f>375*1.03</f>
        <v>386.25</v>
      </c>
      <c r="I53" s="76"/>
      <c r="J53" s="76"/>
      <c r="K53" s="77"/>
      <c r="L53" s="86">
        <v>0.03</v>
      </c>
      <c r="M53" s="87">
        <f t="shared" si="25"/>
        <v>3.6</v>
      </c>
      <c r="N53" s="88">
        <f t="shared" si="26"/>
        <v>123.6</v>
      </c>
      <c r="O53" s="129"/>
      <c r="P53" s="87"/>
      <c r="Q53" s="88"/>
      <c r="R53" s="78"/>
      <c r="S53" s="78"/>
      <c r="T53" s="79"/>
      <c r="U53" s="87">
        <f t="shared" si="27"/>
        <v>123.6</v>
      </c>
      <c r="V53" s="131"/>
      <c r="W53" s="132">
        <v>120.0</v>
      </c>
      <c r="X53" s="106"/>
      <c r="Y53" s="112"/>
    </row>
    <row r="54">
      <c r="A54" s="133" t="s">
        <v>217</v>
      </c>
      <c r="B54" s="134">
        <v>275.0</v>
      </c>
      <c r="C54" s="76"/>
      <c r="D54" s="76"/>
      <c r="E54" s="76"/>
      <c r="F54" s="103"/>
      <c r="G54" s="76"/>
      <c r="H54" s="76"/>
      <c r="I54" s="76"/>
      <c r="J54" s="76"/>
      <c r="K54" s="77"/>
      <c r="L54" s="86">
        <v>0.03</v>
      </c>
      <c r="M54" s="87">
        <f t="shared" si="25"/>
        <v>8.25</v>
      </c>
      <c r="N54" s="88">
        <f t="shared" si="26"/>
        <v>283.25</v>
      </c>
      <c r="O54" s="87"/>
      <c r="P54" s="87"/>
      <c r="Q54" s="88"/>
      <c r="R54" s="78"/>
      <c r="S54" s="78"/>
      <c r="T54" s="79"/>
      <c r="U54" s="87">
        <f t="shared" si="27"/>
        <v>283.25</v>
      </c>
      <c r="V54" s="134"/>
      <c r="W54" s="135">
        <v>275.0</v>
      </c>
      <c r="X54" s="110"/>
      <c r="Y54" s="114"/>
    </row>
    <row r="55">
      <c r="A55" s="125" t="s">
        <v>218</v>
      </c>
      <c r="B55" s="85">
        <v>650.0</v>
      </c>
      <c r="C55" s="76"/>
      <c r="D55" s="76"/>
      <c r="E55" s="76"/>
      <c r="F55" s="103"/>
      <c r="G55" s="76"/>
      <c r="H55" s="76"/>
      <c r="I55" s="76"/>
      <c r="J55" s="76"/>
      <c r="K55" s="77"/>
      <c r="L55" s="86">
        <v>0.03</v>
      </c>
      <c r="M55" s="87">
        <f t="shared" si="25"/>
        <v>19.5</v>
      </c>
      <c r="N55" s="88">
        <f t="shared" si="26"/>
        <v>669.5</v>
      </c>
      <c r="O55" s="103">
        <v>13616.0</v>
      </c>
      <c r="P55" s="86">
        <v>0.1</v>
      </c>
      <c r="Q55" s="121">
        <f>O55*P55</f>
        <v>1361.6</v>
      </c>
      <c r="R55" s="78"/>
      <c r="S55" s="78"/>
      <c r="T55" s="79"/>
      <c r="U55" s="87">
        <f t="shared" si="27"/>
        <v>669.5</v>
      </c>
      <c r="V55" s="136" t="s">
        <v>219</v>
      </c>
      <c r="W55" s="90">
        <v>500.0</v>
      </c>
      <c r="X55" s="106"/>
      <c r="Y55" s="112"/>
    </row>
    <row r="56">
      <c r="A56" s="84" t="s">
        <v>220</v>
      </c>
      <c r="B56" s="85"/>
      <c r="C56" s="76"/>
      <c r="D56" s="76"/>
      <c r="E56" s="76"/>
      <c r="F56" s="103"/>
      <c r="G56" s="76"/>
      <c r="H56" s="76"/>
      <c r="I56" s="76"/>
      <c r="J56" s="76"/>
      <c r="K56" s="77"/>
      <c r="L56" s="86"/>
      <c r="M56" s="78"/>
      <c r="N56" s="79"/>
      <c r="O56" s="103"/>
      <c r="P56" s="86"/>
      <c r="Q56" s="121"/>
      <c r="R56" s="78"/>
      <c r="S56" s="78"/>
      <c r="T56" s="79"/>
      <c r="U56" s="126">
        <v>600.0</v>
      </c>
      <c r="V56" s="95" t="s">
        <v>207</v>
      </c>
      <c r="W56" s="90">
        <v>600.0</v>
      </c>
      <c r="X56" s="110"/>
      <c r="Y56" s="114"/>
    </row>
    <row r="57">
      <c r="A57" s="125" t="s">
        <v>221</v>
      </c>
      <c r="B57" s="137"/>
      <c r="C57" s="138"/>
      <c r="D57" s="138"/>
      <c r="E57" s="138"/>
      <c r="F57" s="139"/>
      <c r="G57" s="138"/>
      <c r="H57" s="138"/>
      <c r="I57" s="138"/>
      <c r="J57" s="138"/>
      <c r="K57" s="140"/>
      <c r="L57" s="141"/>
      <c r="M57" s="142"/>
      <c r="N57" s="143"/>
      <c r="O57" s="139"/>
      <c r="P57" s="141"/>
      <c r="Q57" s="144"/>
      <c r="R57" s="142"/>
      <c r="S57" s="142"/>
      <c r="T57" s="143"/>
      <c r="U57" s="145">
        <v>975.0</v>
      </c>
      <c r="V57" s="146" t="s">
        <v>207</v>
      </c>
      <c r="W57" s="147">
        <v>975.0</v>
      </c>
      <c r="X57" s="148"/>
      <c r="Y57" s="149"/>
    </row>
    <row r="58">
      <c r="A58" s="84" t="s">
        <v>222</v>
      </c>
      <c r="B58" s="85"/>
      <c r="C58" s="76"/>
      <c r="D58" s="76"/>
      <c r="E58" s="76"/>
      <c r="F58" s="103"/>
      <c r="G58" s="76"/>
      <c r="H58" s="76"/>
      <c r="I58" s="76"/>
      <c r="J58" s="76"/>
      <c r="K58" s="77"/>
      <c r="L58" s="86"/>
      <c r="M58" s="78"/>
      <c r="N58" s="79"/>
      <c r="O58" s="103"/>
      <c r="P58" s="86"/>
      <c r="Q58" s="121"/>
      <c r="R58" s="78"/>
      <c r="S58" s="78"/>
      <c r="T58" s="79"/>
      <c r="U58" s="126">
        <v>1375.0</v>
      </c>
      <c r="V58" s="95" t="s">
        <v>207</v>
      </c>
      <c r="W58" s="90">
        <v>1375.0</v>
      </c>
      <c r="X58" s="110"/>
      <c r="Y58" s="114"/>
    </row>
    <row r="59">
      <c r="A59" s="84" t="s">
        <v>223</v>
      </c>
      <c r="B59" s="85"/>
      <c r="C59" s="76"/>
      <c r="D59" s="76"/>
      <c r="E59" s="76"/>
      <c r="F59" s="103"/>
      <c r="G59" s="76"/>
      <c r="H59" s="76"/>
      <c r="I59" s="76"/>
      <c r="J59" s="76"/>
      <c r="K59" s="77"/>
      <c r="L59" s="86"/>
      <c r="M59" s="78"/>
      <c r="N59" s="79"/>
      <c r="O59" s="103"/>
      <c r="P59" s="86"/>
      <c r="Q59" s="121"/>
      <c r="R59" s="78"/>
      <c r="S59" s="78"/>
      <c r="T59" s="79"/>
      <c r="U59" s="126">
        <v>250.0</v>
      </c>
      <c r="V59" s="95" t="s">
        <v>207</v>
      </c>
      <c r="W59" s="90">
        <v>250.0</v>
      </c>
      <c r="X59" s="106"/>
      <c r="Y59" s="112"/>
    </row>
    <row r="60">
      <c r="A60" s="150" t="s">
        <v>111</v>
      </c>
      <c r="B60" s="134">
        <v>50.0</v>
      </c>
      <c r="C60" s="76"/>
      <c r="D60" s="76"/>
      <c r="E60" s="76"/>
      <c r="F60" s="76"/>
      <c r="G60" s="76"/>
      <c r="H60" s="76"/>
      <c r="I60" s="76"/>
      <c r="J60" s="76"/>
      <c r="K60" s="77"/>
      <c r="L60" s="86">
        <v>0.03</v>
      </c>
      <c r="M60" s="87">
        <f t="shared" ref="M60:M63" si="28">L60*B60</f>
        <v>1.5</v>
      </c>
      <c r="N60" s="88">
        <f t="shared" ref="N60:N63" si="29">B60+M60</f>
        <v>51.5</v>
      </c>
      <c r="O60" s="76"/>
      <c r="P60" s="78"/>
      <c r="Q60" s="77"/>
      <c r="R60" s="76"/>
      <c r="S60" s="76"/>
      <c r="T60" s="77"/>
      <c r="U60" s="87">
        <f t="shared" ref="U60:U61" si="30">N60</f>
        <v>51.5</v>
      </c>
      <c r="V60" s="151"/>
      <c r="W60" s="152">
        <v>50.0</v>
      </c>
      <c r="X60" s="4"/>
      <c r="Y60" s="91"/>
    </row>
    <row r="61">
      <c r="A61" s="84" t="s">
        <v>224</v>
      </c>
      <c r="B61" s="85">
        <v>155.0</v>
      </c>
      <c r="C61" s="76"/>
      <c r="D61" s="76"/>
      <c r="E61" s="76"/>
      <c r="F61" s="76"/>
      <c r="G61" s="76"/>
      <c r="H61" s="76"/>
      <c r="I61" s="76"/>
      <c r="J61" s="76"/>
      <c r="K61" s="77"/>
      <c r="L61" s="86">
        <v>0.03</v>
      </c>
      <c r="M61" s="87">
        <f t="shared" si="28"/>
        <v>4.65</v>
      </c>
      <c r="N61" s="88">
        <f t="shared" si="29"/>
        <v>159.65</v>
      </c>
      <c r="O61" s="103">
        <v>1549.0</v>
      </c>
      <c r="P61" s="86">
        <v>0.1</v>
      </c>
      <c r="Q61" s="121">
        <f>O61*P61</f>
        <v>154.9</v>
      </c>
      <c r="R61" s="78"/>
      <c r="S61" s="78"/>
      <c r="T61" s="79"/>
      <c r="U61" s="87">
        <f t="shared" si="30"/>
        <v>159.65</v>
      </c>
      <c r="V61" s="89"/>
      <c r="W61" s="109">
        <v>155.0</v>
      </c>
      <c r="X61" s="106"/>
      <c r="Y61" s="112"/>
    </row>
    <row r="62">
      <c r="A62" s="84" t="s">
        <v>225</v>
      </c>
      <c r="B62" s="85">
        <v>2700.0</v>
      </c>
      <c r="C62" s="76"/>
      <c r="D62" s="76"/>
      <c r="E62" s="76"/>
      <c r="F62" s="76"/>
      <c r="G62" s="76"/>
      <c r="H62" s="76"/>
      <c r="I62" s="76"/>
      <c r="J62" s="76"/>
      <c r="K62" s="77"/>
      <c r="L62" s="86">
        <v>0.03</v>
      </c>
      <c r="M62" s="87">
        <f t="shared" si="28"/>
        <v>81</v>
      </c>
      <c r="N62" s="88">
        <f t="shared" si="29"/>
        <v>2781</v>
      </c>
      <c r="O62" s="76"/>
      <c r="P62" s="76"/>
      <c r="Q62" s="77"/>
      <c r="R62" s="76"/>
      <c r="S62" s="76"/>
      <c r="T62" s="77"/>
      <c r="U62" s="87">
        <v>2781.0</v>
      </c>
      <c r="V62" s="153" t="s">
        <v>226</v>
      </c>
      <c r="W62" s="90">
        <v>3000.0</v>
      </c>
      <c r="X62" s="4"/>
      <c r="Y62" s="91"/>
    </row>
    <row r="63">
      <c r="A63" s="125" t="s">
        <v>227</v>
      </c>
      <c r="B63" s="85">
        <v>495.0</v>
      </c>
      <c r="C63" s="76"/>
      <c r="D63" s="76"/>
      <c r="E63" s="76"/>
      <c r="F63" s="76"/>
      <c r="G63" s="76"/>
      <c r="H63" s="76"/>
      <c r="I63" s="76"/>
      <c r="J63" s="76"/>
      <c r="K63" s="77"/>
      <c r="L63" s="86">
        <v>0.03</v>
      </c>
      <c r="M63" s="87">
        <f t="shared" si="28"/>
        <v>14.85</v>
      </c>
      <c r="N63" s="88">
        <f t="shared" si="29"/>
        <v>509.85</v>
      </c>
      <c r="O63" s="76"/>
      <c r="P63" s="76"/>
      <c r="Q63" s="77"/>
      <c r="R63" s="76"/>
      <c r="S63" s="76"/>
      <c r="T63" s="77"/>
      <c r="U63" s="87">
        <f>N63</f>
        <v>509.85</v>
      </c>
      <c r="V63" s="95"/>
      <c r="W63" s="154">
        <v>495.0</v>
      </c>
      <c r="X63" s="82"/>
      <c r="Y63" s="83"/>
    </row>
    <row r="64">
      <c r="A64" s="99" t="s">
        <v>117</v>
      </c>
      <c r="B64" s="100"/>
      <c r="C64" s="100"/>
      <c r="D64" s="100"/>
      <c r="E64" s="100"/>
      <c r="F64" s="100"/>
      <c r="G64" s="100"/>
      <c r="H64" s="100"/>
      <c r="I64" s="100"/>
      <c r="J64" s="100"/>
      <c r="K64" s="100"/>
      <c r="L64" s="101"/>
      <c r="M64" s="101"/>
      <c r="N64" s="101"/>
      <c r="O64" s="100"/>
      <c r="P64" s="100"/>
      <c r="Q64" s="102"/>
      <c r="R64" s="100"/>
      <c r="S64" s="100"/>
      <c r="T64" s="102"/>
      <c r="U64" s="100"/>
      <c r="V64" s="100"/>
      <c r="W64" s="100"/>
      <c r="X64" s="100"/>
      <c r="Y64" s="102"/>
    </row>
    <row r="65">
      <c r="A65" s="74" t="s">
        <v>118</v>
      </c>
      <c r="B65" s="85">
        <v>295.0</v>
      </c>
      <c r="C65" s="76"/>
      <c r="D65" s="76"/>
      <c r="E65" s="76"/>
      <c r="F65" s="76"/>
      <c r="G65" s="76"/>
      <c r="H65" s="76"/>
      <c r="I65" s="76"/>
      <c r="J65" s="103">
        <f>750*1.03</f>
        <v>772.5</v>
      </c>
      <c r="K65" s="77"/>
      <c r="L65" s="86">
        <v>0.03</v>
      </c>
      <c r="M65" s="87">
        <f t="shared" ref="M65:M70" si="31">L65*B65</f>
        <v>8.85</v>
      </c>
      <c r="N65" s="88">
        <f t="shared" ref="N65:N70" si="32">B65+M65</f>
        <v>303.85</v>
      </c>
      <c r="O65" s="103">
        <v>1510.84</v>
      </c>
      <c r="P65" s="86">
        <v>0.1</v>
      </c>
      <c r="Q65" s="121">
        <f t="shared" ref="Q65:Q66" si="33">O65*P65</f>
        <v>151.084</v>
      </c>
      <c r="R65" s="78"/>
      <c r="S65" s="78"/>
      <c r="T65" s="79"/>
      <c r="U65" s="87">
        <f t="shared" ref="U65:U70" si="34">N65</f>
        <v>303.85</v>
      </c>
      <c r="V65" s="85"/>
      <c r="W65" s="96">
        <v>295.0</v>
      </c>
      <c r="X65" s="106"/>
      <c r="Y65" s="112"/>
    </row>
    <row r="66">
      <c r="A66" s="74" t="s">
        <v>120</v>
      </c>
      <c r="B66" s="85">
        <v>295.0</v>
      </c>
      <c r="C66" s="76"/>
      <c r="D66" s="76"/>
      <c r="E66" s="76"/>
      <c r="F66" s="76"/>
      <c r="G66" s="76"/>
      <c r="H66" s="76"/>
      <c r="I66" s="76"/>
      <c r="J66" s="76"/>
      <c r="K66" s="77"/>
      <c r="L66" s="86">
        <v>0.03</v>
      </c>
      <c r="M66" s="87">
        <f t="shared" si="31"/>
        <v>8.85</v>
      </c>
      <c r="N66" s="88">
        <f t="shared" si="32"/>
        <v>303.85</v>
      </c>
      <c r="O66" s="103">
        <v>1822.0</v>
      </c>
      <c r="P66" s="86">
        <v>0.1</v>
      </c>
      <c r="Q66" s="121">
        <f t="shared" si="33"/>
        <v>182.2</v>
      </c>
      <c r="R66" s="78"/>
      <c r="S66" s="78"/>
      <c r="T66" s="79"/>
      <c r="U66" s="87">
        <f t="shared" si="34"/>
        <v>303.85</v>
      </c>
      <c r="V66" s="85"/>
      <c r="W66" s="92">
        <v>295.0</v>
      </c>
      <c r="X66" s="110"/>
      <c r="Y66" s="114"/>
    </row>
    <row r="67">
      <c r="A67" s="84" t="s">
        <v>228</v>
      </c>
      <c r="B67" s="85">
        <v>240.0</v>
      </c>
      <c r="C67" s="76"/>
      <c r="D67" s="76"/>
      <c r="E67" s="76"/>
      <c r="F67" s="76"/>
      <c r="G67" s="76"/>
      <c r="H67" s="76"/>
      <c r="I67" s="76"/>
      <c r="J67" s="76"/>
      <c r="K67" s="77"/>
      <c r="L67" s="86">
        <v>0.03</v>
      </c>
      <c r="M67" s="87">
        <f t="shared" si="31"/>
        <v>7.2</v>
      </c>
      <c r="N67" s="88">
        <f t="shared" si="32"/>
        <v>247.2</v>
      </c>
      <c r="O67" s="122"/>
      <c r="P67" s="122"/>
      <c r="Q67" s="121"/>
      <c r="R67" s="78"/>
      <c r="S67" s="78"/>
      <c r="T67" s="79"/>
      <c r="U67" s="87">
        <f t="shared" si="34"/>
        <v>247.2</v>
      </c>
      <c r="V67" s="95"/>
      <c r="W67" s="109">
        <v>240.0</v>
      </c>
      <c r="X67" s="106"/>
      <c r="Y67" s="112"/>
    </row>
    <row r="68">
      <c r="A68" s="150" t="s">
        <v>126</v>
      </c>
      <c r="B68" s="134">
        <v>85.0</v>
      </c>
      <c r="C68" s="76"/>
      <c r="D68" s="76"/>
      <c r="E68" s="76"/>
      <c r="F68" s="76"/>
      <c r="G68" s="76"/>
      <c r="H68" s="76"/>
      <c r="I68" s="76"/>
      <c r="J68" s="76"/>
      <c r="K68" s="77"/>
      <c r="L68" s="86">
        <v>0.03</v>
      </c>
      <c r="M68" s="87">
        <f t="shared" si="31"/>
        <v>2.55</v>
      </c>
      <c r="N68" s="88">
        <f t="shared" si="32"/>
        <v>87.55</v>
      </c>
      <c r="O68" s="103">
        <v>3121.0</v>
      </c>
      <c r="P68" s="86">
        <v>0.1</v>
      </c>
      <c r="Q68" s="121">
        <f>O68*P68</f>
        <v>312.1</v>
      </c>
      <c r="R68" s="78"/>
      <c r="S68" s="78"/>
      <c r="T68" s="79"/>
      <c r="U68" s="87">
        <f t="shared" si="34"/>
        <v>87.55</v>
      </c>
      <c r="V68" s="134"/>
      <c r="W68" s="152">
        <v>85.0</v>
      </c>
      <c r="X68" s="110"/>
      <c r="Y68" s="114"/>
    </row>
    <row r="69">
      <c r="A69" s="155" t="s">
        <v>128</v>
      </c>
      <c r="B69" s="134">
        <v>240.0</v>
      </c>
      <c r="C69" s="76"/>
      <c r="D69" s="76"/>
      <c r="E69" s="76"/>
      <c r="F69" s="76"/>
      <c r="G69" s="76"/>
      <c r="H69" s="76"/>
      <c r="I69" s="76"/>
      <c r="J69" s="76"/>
      <c r="K69" s="77"/>
      <c r="L69" s="86">
        <v>0.03</v>
      </c>
      <c r="M69" s="87">
        <f t="shared" si="31"/>
        <v>7.2</v>
      </c>
      <c r="N69" s="88">
        <f t="shared" si="32"/>
        <v>247.2</v>
      </c>
      <c r="O69" s="122"/>
      <c r="P69" s="122"/>
      <c r="Q69" s="121"/>
      <c r="R69" s="78"/>
      <c r="S69" s="78"/>
      <c r="T69" s="79"/>
      <c r="U69" s="87">
        <f t="shared" si="34"/>
        <v>247.2</v>
      </c>
      <c r="V69" s="151"/>
      <c r="W69" s="156">
        <v>240.0</v>
      </c>
      <c r="X69" s="106"/>
      <c r="Y69" s="112"/>
    </row>
    <row r="70">
      <c r="A70" s="155" t="s">
        <v>229</v>
      </c>
      <c r="B70" s="134">
        <v>65.0</v>
      </c>
      <c r="C70" s="76"/>
      <c r="D70" s="76"/>
      <c r="E70" s="76"/>
      <c r="F70" s="76"/>
      <c r="G70" s="76"/>
      <c r="H70" s="76"/>
      <c r="I70" s="76"/>
      <c r="J70" s="76"/>
      <c r="K70" s="77"/>
      <c r="L70" s="86">
        <v>0.03</v>
      </c>
      <c r="M70" s="87">
        <f t="shared" si="31"/>
        <v>1.95</v>
      </c>
      <c r="N70" s="88">
        <f t="shared" si="32"/>
        <v>66.95</v>
      </c>
      <c r="O70" s="122"/>
      <c r="P70" s="122"/>
      <c r="Q70" s="121"/>
      <c r="R70" s="78"/>
      <c r="S70" s="78"/>
      <c r="T70" s="79"/>
      <c r="U70" s="87">
        <f t="shared" si="34"/>
        <v>66.95</v>
      </c>
      <c r="V70" s="134"/>
      <c r="W70" s="152">
        <v>65.0</v>
      </c>
      <c r="X70" s="110"/>
      <c r="Y70" s="114"/>
    </row>
    <row r="71">
      <c r="A71" s="157" t="s">
        <v>130</v>
      </c>
      <c r="B71" s="158"/>
      <c r="C71" s="158"/>
      <c r="D71" s="158"/>
      <c r="E71" s="158"/>
      <c r="F71" s="158"/>
      <c r="G71" s="158"/>
      <c r="H71" s="158"/>
      <c r="I71" s="158"/>
      <c r="J71" s="158"/>
      <c r="K71" s="158"/>
      <c r="L71" s="82"/>
      <c r="M71" s="82"/>
      <c r="N71" s="82"/>
      <c r="O71" s="158"/>
      <c r="P71" s="158"/>
      <c r="Q71" s="118"/>
      <c r="R71" s="116"/>
      <c r="S71" s="116"/>
      <c r="T71" s="118"/>
      <c r="U71" s="116"/>
      <c r="V71" s="116"/>
      <c r="W71" s="116"/>
      <c r="X71" s="116"/>
      <c r="Y71" s="118"/>
    </row>
    <row r="72">
      <c r="A72" s="159" t="s">
        <v>131</v>
      </c>
      <c r="B72" s="92">
        <v>429.0</v>
      </c>
      <c r="C72" s="4"/>
      <c r="D72" s="4"/>
      <c r="E72" s="4"/>
      <c r="F72" s="4"/>
      <c r="G72" s="4"/>
      <c r="H72" s="4"/>
      <c r="I72" s="4"/>
      <c r="J72" s="4"/>
      <c r="K72" s="4"/>
      <c r="L72" s="160">
        <v>0.03</v>
      </c>
      <c r="M72" s="161">
        <f>L72*B72</f>
        <v>12.87</v>
      </c>
      <c r="N72" s="162">
        <f>B72+M72</f>
        <v>441.87</v>
      </c>
      <c r="O72" s="4"/>
      <c r="P72" s="4"/>
      <c r="Q72" s="91"/>
      <c r="R72" s="4"/>
      <c r="S72" s="4"/>
      <c r="T72" s="91"/>
      <c r="U72" s="161">
        <f>N72</f>
        <v>441.87</v>
      </c>
      <c r="V72" s="163"/>
      <c r="W72" s="163">
        <v>440.0</v>
      </c>
      <c r="X72" s="4"/>
      <c r="Y72" s="91"/>
    </row>
    <row r="73">
      <c r="A73" s="157" t="s">
        <v>22</v>
      </c>
      <c r="B73" s="158"/>
      <c r="C73" s="158"/>
      <c r="D73" s="158"/>
      <c r="E73" s="158"/>
      <c r="F73" s="158"/>
      <c r="G73" s="158"/>
      <c r="H73" s="158"/>
      <c r="I73" s="158"/>
      <c r="J73" s="158"/>
      <c r="K73" s="158"/>
      <c r="L73" s="164"/>
      <c r="M73" s="164"/>
      <c r="N73" s="164"/>
      <c r="O73" s="158"/>
      <c r="P73" s="158"/>
      <c r="Q73" s="118"/>
      <c r="R73" s="116"/>
      <c r="S73" s="116"/>
      <c r="T73" s="118"/>
      <c r="U73" s="116"/>
      <c r="V73" s="116"/>
      <c r="W73" s="116"/>
      <c r="X73" s="116"/>
      <c r="Y73" s="118"/>
    </row>
    <row r="74">
      <c r="A74" s="159" t="s">
        <v>23</v>
      </c>
      <c r="B74" s="92">
        <v>99.0</v>
      </c>
      <c r="C74" s="4"/>
      <c r="D74" s="4"/>
      <c r="E74" s="4"/>
      <c r="F74" s="4"/>
      <c r="G74" s="4"/>
      <c r="H74" s="4"/>
      <c r="I74" s="4"/>
      <c r="J74" s="4"/>
      <c r="K74" s="91"/>
      <c r="L74" s="160">
        <v>0.03</v>
      </c>
      <c r="M74" s="161">
        <f t="shared" ref="M74:M85" si="35">L74*B74</f>
        <v>2.97</v>
      </c>
      <c r="N74" s="162">
        <f t="shared" ref="N74:N85" si="36">B74+M74</f>
        <v>101.97</v>
      </c>
      <c r="O74" s="165">
        <v>1465.62</v>
      </c>
      <c r="P74" s="160">
        <v>0.1</v>
      </c>
      <c r="Q74" s="166">
        <f>O74*P74</f>
        <v>146.562</v>
      </c>
      <c r="R74" s="110"/>
      <c r="S74" s="110"/>
      <c r="T74" s="114"/>
      <c r="U74" s="161">
        <f t="shared" ref="U74:U76" si="37">N74</f>
        <v>101.97</v>
      </c>
      <c r="V74" s="92"/>
      <c r="W74" s="92">
        <v>99.0</v>
      </c>
      <c r="X74" s="110"/>
      <c r="Y74" s="114"/>
    </row>
    <row r="75">
      <c r="A75" s="167" t="s">
        <v>134</v>
      </c>
      <c r="B75" s="96">
        <v>60.0</v>
      </c>
      <c r="C75" s="82"/>
      <c r="D75" s="82"/>
      <c r="E75" s="82"/>
      <c r="F75" s="82"/>
      <c r="G75" s="82"/>
      <c r="H75" s="82"/>
      <c r="I75" s="82"/>
      <c r="J75" s="82"/>
      <c r="K75" s="83"/>
      <c r="L75" s="168">
        <v>0.03</v>
      </c>
      <c r="M75" s="169">
        <f t="shared" si="35"/>
        <v>1.8</v>
      </c>
      <c r="N75" s="170">
        <f t="shared" si="36"/>
        <v>61.8</v>
      </c>
      <c r="O75" s="106"/>
      <c r="P75" s="106"/>
      <c r="Q75" s="112"/>
      <c r="R75" s="106"/>
      <c r="S75" s="106"/>
      <c r="T75" s="112"/>
      <c r="U75" s="169">
        <f t="shared" si="37"/>
        <v>61.8</v>
      </c>
      <c r="V75" s="96"/>
      <c r="W75" s="96">
        <v>60.0</v>
      </c>
      <c r="X75" s="106"/>
      <c r="Y75" s="112"/>
    </row>
    <row r="76">
      <c r="A76" s="159" t="s">
        <v>136</v>
      </c>
      <c r="B76" s="92">
        <v>99.0</v>
      </c>
      <c r="C76" s="4"/>
      <c r="D76" s="4"/>
      <c r="E76" s="4"/>
      <c r="F76" s="4"/>
      <c r="G76" s="171">
        <f>175*1.03</f>
        <v>180.25</v>
      </c>
      <c r="H76" s="4"/>
      <c r="I76" s="4"/>
      <c r="J76" s="4"/>
      <c r="K76" s="91"/>
      <c r="L76" s="160">
        <v>0.03</v>
      </c>
      <c r="M76" s="161">
        <f t="shared" si="35"/>
        <v>2.97</v>
      </c>
      <c r="N76" s="162">
        <f t="shared" si="36"/>
        <v>101.97</v>
      </c>
      <c r="O76" s="171">
        <v>817.95</v>
      </c>
      <c r="P76" s="160">
        <v>0.1</v>
      </c>
      <c r="Q76" s="166">
        <f>O76*P76</f>
        <v>81.795</v>
      </c>
      <c r="R76" s="110"/>
      <c r="S76" s="110"/>
      <c r="T76" s="114"/>
      <c r="U76" s="161">
        <f t="shared" si="37"/>
        <v>101.97</v>
      </c>
      <c r="V76" s="92"/>
      <c r="W76" s="92">
        <v>99.0</v>
      </c>
      <c r="X76" s="110"/>
      <c r="Y76" s="114"/>
    </row>
    <row r="77">
      <c r="A77" s="167" t="s">
        <v>138</v>
      </c>
      <c r="B77" s="96">
        <v>15.0</v>
      </c>
      <c r="C77" s="82"/>
      <c r="D77" s="82"/>
      <c r="E77" s="82"/>
      <c r="F77" s="82"/>
      <c r="G77" s="82"/>
      <c r="H77" s="82"/>
      <c r="I77" s="82"/>
      <c r="J77" s="82"/>
      <c r="K77" s="83"/>
      <c r="L77" s="168">
        <v>0.03</v>
      </c>
      <c r="M77" s="169">
        <f t="shared" si="35"/>
        <v>0.45</v>
      </c>
      <c r="N77" s="170">
        <f t="shared" si="36"/>
        <v>15.45</v>
      </c>
      <c r="O77" s="106"/>
      <c r="P77" s="106"/>
      <c r="Q77" s="112"/>
      <c r="R77" s="106"/>
      <c r="S77" s="106"/>
      <c r="T77" s="112"/>
      <c r="U77" s="172">
        <v>15.0</v>
      </c>
      <c r="V77" s="173" t="s">
        <v>207</v>
      </c>
      <c r="W77" s="96">
        <v>15.0</v>
      </c>
      <c r="X77" s="106"/>
      <c r="Y77" s="112"/>
    </row>
    <row r="78">
      <c r="A78" s="159" t="s">
        <v>140</v>
      </c>
      <c r="B78" s="92">
        <v>45.0</v>
      </c>
      <c r="C78" s="4"/>
      <c r="D78" s="4"/>
      <c r="E78" s="4"/>
      <c r="F78" s="4"/>
      <c r="G78" s="4"/>
      <c r="H78" s="4"/>
      <c r="I78" s="4"/>
      <c r="J78" s="4"/>
      <c r="K78" s="91"/>
      <c r="L78" s="160">
        <v>0.03</v>
      </c>
      <c r="M78" s="161">
        <f t="shared" si="35"/>
        <v>1.35</v>
      </c>
      <c r="N78" s="162">
        <f t="shared" si="36"/>
        <v>46.35</v>
      </c>
      <c r="O78" s="171">
        <v>237.78</v>
      </c>
      <c r="P78" s="160">
        <v>0.1</v>
      </c>
      <c r="Q78" s="166">
        <f t="shared" ref="Q78:Q80" si="38">O78*P78</f>
        <v>23.778</v>
      </c>
      <c r="R78" s="110"/>
      <c r="S78" s="110"/>
      <c r="T78" s="114"/>
      <c r="U78" s="161">
        <f t="shared" ref="U78:U85" si="39">N78</f>
        <v>46.35</v>
      </c>
      <c r="V78" s="92"/>
      <c r="W78" s="92">
        <v>45.0</v>
      </c>
      <c r="X78" s="110"/>
      <c r="Y78" s="114"/>
    </row>
    <row r="79">
      <c r="A79" s="167" t="s">
        <v>142</v>
      </c>
      <c r="B79" s="96">
        <v>55.0</v>
      </c>
      <c r="C79" s="82"/>
      <c r="D79" s="82"/>
      <c r="E79" s="82"/>
      <c r="F79" s="82"/>
      <c r="G79" s="82"/>
      <c r="H79" s="82"/>
      <c r="I79" s="82"/>
      <c r="J79" s="82"/>
      <c r="K79" s="83"/>
      <c r="L79" s="168">
        <v>0.03</v>
      </c>
      <c r="M79" s="169">
        <f t="shared" si="35"/>
        <v>1.65</v>
      </c>
      <c r="N79" s="170">
        <f t="shared" si="36"/>
        <v>56.65</v>
      </c>
      <c r="O79" s="174">
        <v>836.0</v>
      </c>
      <c r="P79" s="168">
        <v>0.1</v>
      </c>
      <c r="Q79" s="175">
        <f t="shared" si="38"/>
        <v>83.6</v>
      </c>
      <c r="R79" s="106"/>
      <c r="S79" s="106"/>
      <c r="T79" s="112"/>
      <c r="U79" s="169">
        <f t="shared" si="39"/>
        <v>56.65</v>
      </c>
      <c r="V79" s="96"/>
      <c r="W79" s="96">
        <v>55.0</v>
      </c>
      <c r="X79" s="106"/>
      <c r="Y79" s="112"/>
    </row>
    <row r="80">
      <c r="A80" s="159" t="s">
        <v>144</v>
      </c>
      <c r="B80" s="92">
        <v>55.0</v>
      </c>
      <c r="C80" s="4"/>
      <c r="D80" s="4"/>
      <c r="E80" s="4"/>
      <c r="F80" s="4"/>
      <c r="G80" s="4"/>
      <c r="H80" s="4"/>
      <c r="I80" s="4"/>
      <c r="J80" s="4"/>
      <c r="K80" s="91"/>
      <c r="L80" s="160">
        <v>0.03</v>
      </c>
      <c r="M80" s="161">
        <f t="shared" si="35"/>
        <v>1.65</v>
      </c>
      <c r="N80" s="162">
        <f t="shared" si="36"/>
        <v>56.65</v>
      </c>
      <c r="O80" s="174">
        <v>1163.0</v>
      </c>
      <c r="P80" s="160">
        <v>0.1</v>
      </c>
      <c r="Q80" s="166">
        <f t="shared" si="38"/>
        <v>116.3</v>
      </c>
      <c r="R80" s="110"/>
      <c r="S80" s="110"/>
      <c r="T80" s="114"/>
      <c r="U80" s="161">
        <f t="shared" si="39"/>
        <v>56.65</v>
      </c>
      <c r="V80" s="92"/>
      <c r="W80" s="92">
        <v>55.0</v>
      </c>
      <c r="X80" s="110"/>
      <c r="Y80" s="114"/>
    </row>
    <row r="81">
      <c r="A81" s="167" t="s">
        <v>146</v>
      </c>
      <c r="B81" s="96">
        <v>45.0</v>
      </c>
      <c r="C81" s="82"/>
      <c r="D81" s="82"/>
      <c r="E81" s="82"/>
      <c r="F81" s="82"/>
      <c r="G81" s="82"/>
      <c r="H81" s="82"/>
      <c r="I81" s="82"/>
      <c r="J81" s="82"/>
      <c r="K81" s="83"/>
      <c r="L81" s="168">
        <v>0.03</v>
      </c>
      <c r="M81" s="169">
        <f t="shared" si="35"/>
        <v>1.35</v>
      </c>
      <c r="N81" s="170">
        <f t="shared" si="36"/>
        <v>46.35</v>
      </c>
      <c r="O81" s="106"/>
      <c r="P81" s="106"/>
      <c r="Q81" s="112"/>
      <c r="R81" s="106"/>
      <c r="S81" s="106"/>
      <c r="T81" s="112"/>
      <c r="U81" s="169">
        <f t="shared" si="39"/>
        <v>46.35</v>
      </c>
      <c r="V81" s="96"/>
      <c r="W81" s="96">
        <v>45.0</v>
      </c>
      <c r="X81" s="106"/>
      <c r="Y81" s="112"/>
    </row>
    <row r="82">
      <c r="A82" s="176" t="s">
        <v>230</v>
      </c>
      <c r="B82" s="177">
        <v>149.0</v>
      </c>
      <c r="C82" s="4"/>
      <c r="D82" s="4"/>
      <c r="E82" s="4"/>
      <c r="F82" s="4"/>
      <c r="G82" s="4"/>
      <c r="H82" s="4"/>
      <c r="I82" s="4"/>
      <c r="J82" s="4"/>
      <c r="K82" s="91"/>
      <c r="L82" s="160">
        <v>0.03</v>
      </c>
      <c r="M82" s="161">
        <f t="shared" si="35"/>
        <v>4.47</v>
      </c>
      <c r="N82" s="162">
        <f t="shared" si="36"/>
        <v>153.47</v>
      </c>
      <c r="O82" s="110"/>
      <c r="P82" s="110"/>
      <c r="Q82" s="114"/>
      <c r="R82" s="110"/>
      <c r="S82" s="110"/>
      <c r="T82" s="114"/>
      <c r="U82" s="161">
        <f t="shared" si="39"/>
        <v>153.47</v>
      </c>
      <c r="V82" s="110"/>
      <c r="W82" s="110"/>
      <c r="X82" s="110"/>
      <c r="Y82" s="114"/>
    </row>
    <row r="83">
      <c r="A83" s="178" t="s">
        <v>231</v>
      </c>
      <c r="B83" s="179">
        <v>15.0</v>
      </c>
      <c r="C83" s="82"/>
      <c r="D83" s="82"/>
      <c r="E83" s="82"/>
      <c r="F83" s="82"/>
      <c r="G83" s="82"/>
      <c r="H83" s="82"/>
      <c r="I83" s="82"/>
      <c r="J83" s="82"/>
      <c r="K83" s="83"/>
      <c r="L83" s="168">
        <v>0.03</v>
      </c>
      <c r="M83" s="169">
        <f t="shared" si="35"/>
        <v>0.45</v>
      </c>
      <c r="N83" s="170">
        <f t="shared" si="36"/>
        <v>15.45</v>
      </c>
      <c r="O83" s="106"/>
      <c r="P83" s="106"/>
      <c r="Q83" s="112"/>
      <c r="R83" s="106"/>
      <c r="S83" s="106"/>
      <c r="T83" s="112"/>
      <c r="U83" s="169">
        <f t="shared" si="39"/>
        <v>15.45</v>
      </c>
      <c r="V83" s="180"/>
      <c r="W83" s="180">
        <v>18.0</v>
      </c>
      <c r="X83" s="106"/>
      <c r="Y83" s="112"/>
    </row>
    <row r="84">
      <c r="A84" s="159" t="s">
        <v>148</v>
      </c>
      <c r="B84" s="92">
        <v>150.0</v>
      </c>
      <c r="C84" s="4"/>
      <c r="D84" s="4"/>
      <c r="E84" s="4"/>
      <c r="F84" s="171"/>
      <c r="G84" s="171">
        <f t="shared" ref="G84:G85" si="40">150*1.03</f>
        <v>154.5</v>
      </c>
      <c r="H84" s="171">
        <f t="shared" ref="H84:H85" si="41">750/2*1.03</f>
        <v>386.25</v>
      </c>
      <c r="I84" s="4"/>
      <c r="J84" s="4"/>
      <c r="K84" s="91"/>
      <c r="L84" s="160">
        <v>0.03</v>
      </c>
      <c r="M84" s="161">
        <f t="shared" si="35"/>
        <v>4.5</v>
      </c>
      <c r="N84" s="162">
        <f t="shared" si="36"/>
        <v>154.5</v>
      </c>
      <c r="O84" s="110"/>
      <c r="P84" s="110"/>
      <c r="Q84" s="114"/>
      <c r="R84" s="110"/>
      <c r="S84" s="110"/>
      <c r="T84" s="114"/>
      <c r="U84" s="161">
        <f t="shared" si="39"/>
        <v>154.5</v>
      </c>
      <c r="V84" s="92"/>
      <c r="W84" s="92">
        <v>150.0</v>
      </c>
      <c r="X84" s="110"/>
      <c r="Y84" s="114"/>
    </row>
    <row r="85">
      <c r="A85" s="167" t="s">
        <v>150</v>
      </c>
      <c r="B85" s="96">
        <v>150.0</v>
      </c>
      <c r="C85" s="82"/>
      <c r="D85" s="82"/>
      <c r="E85" s="82"/>
      <c r="F85" s="181"/>
      <c r="G85" s="181">
        <f t="shared" si="40"/>
        <v>154.5</v>
      </c>
      <c r="H85" s="181">
        <f t="shared" si="41"/>
        <v>386.25</v>
      </c>
      <c r="I85" s="82"/>
      <c r="J85" s="82"/>
      <c r="K85" s="83"/>
      <c r="L85" s="168">
        <v>0.03</v>
      </c>
      <c r="M85" s="169">
        <f t="shared" si="35"/>
        <v>4.5</v>
      </c>
      <c r="N85" s="170">
        <f t="shared" si="36"/>
        <v>154.5</v>
      </c>
      <c r="O85" s="106"/>
      <c r="P85" s="106"/>
      <c r="Q85" s="112"/>
      <c r="R85" s="106"/>
      <c r="S85" s="106"/>
      <c r="T85" s="112"/>
      <c r="U85" s="169">
        <f t="shared" si="39"/>
        <v>154.5</v>
      </c>
      <c r="V85" s="96"/>
      <c r="W85" s="96">
        <v>150.0</v>
      </c>
      <c r="X85" s="106"/>
      <c r="Y85" s="112"/>
    </row>
    <row r="86">
      <c r="A86" s="99" t="s">
        <v>152</v>
      </c>
      <c r="B86" s="100"/>
      <c r="C86" s="100"/>
      <c r="D86" s="100"/>
      <c r="E86" s="100"/>
      <c r="F86" s="100"/>
      <c r="G86" s="100"/>
      <c r="H86" s="100"/>
      <c r="I86" s="100"/>
      <c r="J86" s="100"/>
      <c r="K86" s="100"/>
      <c r="L86" s="101"/>
      <c r="M86" s="101"/>
      <c r="N86" s="101"/>
      <c r="O86" s="100"/>
      <c r="P86" s="100"/>
      <c r="Q86" s="102"/>
      <c r="R86" s="100"/>
      <c r="S86" s="100"/>
      <c r="T86" s="102"/>
      <c r="U86" s="100"/>
      <c r="V86" s="100"/>
      <c r="W86" s="100"/>
      <c r="X86" s="100"/>
      <c r="Y86" s="102"/>
    </row>
    <row r="87">
      <c r="A87" s="167" t="s">
        <v>153</v>
      </c>
      <c r="B87" s="96">
        <v>45.0</v>
      </c>
      <c r="C87" s="82"/>
      <c r="D87" s="82"/>
      <c r="E87" s="82"/>
      <c r="F87" s="82"/>
      <c r="G87" s="82"/>
      <c r="H87" s="82"/>
      <c r="I87" s="82"/>
      <c r="J87" s="82"/>
      <c r="K87" s="83"/>
      <c r="L87" s="82"/>
      <c r="M87" s="82"/>
      <c r="N87" s="83"/>
      <c r="O87" s="82"/>
      <c r="P87" s="82"/>
      <c r="Q87" s="83"/>
      <c r="R87" s="168">
        <v>0.03</v>
      </c>
      <c r="S87" s="169">
        <f t="shared" ref="S87:S95" si="42">R87*B87</f>
        <v>1.35</v>
      </c>
      <c r="T87" s="170">
        <f t="shared" ref="T87:T88" si="43">S87+B87</f>
        <v>46.35</v>
      </c>
      <c r="U87" s="169">
        <f t="shared" ref="U87:U99" si="44">T87</f>
        <v>46.35</v>
      </c>
      <c r="V87" s="106"/>
      <c r="W87" s="106"/>
      <c r="X87" s="182">
        <v>47.0</v>
      </c>
      <c r="Y87" s="112"/>
    </row>
    <row r="88">
      <c r="A88" s="159" t="s">
        <v>155</v>
      </c>
      <c r="B88" s="92">
        <v>75.0</v>
      </c>
      <c r="C88" s="4"/>
      <c r="D88" s="4"/>
      <c r="E88" s="4"/>
      <c r="F88" s="4"/>
      <c r="G88" s="4"/>
      <c r="H88" s="4"/>
      <c r="I88" s="4"/>
      <c r="J88" s="4"/>
      <c r="K88" s="91"/>
      <c r="L88" s="4"/>
      <c r="M88" s="4"/>
      <c r="N88" s="91"/>
      <c r="O88" s="4"/>
      <c r="P88" s="4"/>
      <c r="Q88" s="91"/>
      <c r="R88" s="160">
        <v>0.03</v>
      </c>
      <c r="S88" s="161">
        <f t="shared" si="42"/>
        <v>2.25</v>
      </c>
      <c r="T88" s="162">
        <f t="shared" si="43"/>
        <v>77.25</v>
      </c>
      <c r="U88" s="161">
        <f t="shared" si="44"/>
        <v>77.25</v>
      </c>
      <c r="V88" s="110"/>
      <c r="W88" s="110"/>
      <c r="X88" s="165">
        <v>78.0</v>
      </c>
      <c r="Y88" s="114"/>
    </row>
    <row r="89">
      <c r="A89" s="167" t="s">
        <v>157</v>
      </c>
      <c r="B89" s="96">
        <v>225.0</v>
      </c>
      <c r="C89" s="82"/>
      <c r="D89" s="82"/>
      <c r="E89" s="82"/>
      <c r="F89" s="82"/>
      <c r="G89" s="82"/>
      <c r="H89" s="82"/>
      <c r="I89" s="82"/>
      <c r="J89" s="82"/>
      <c r="K89" s="83"/>
      <c r="L89" s="82"/>
      <c r="M89" s="82"/>
      <c r="N89" s="83"/>
      <c r="O89" s="82"/>
      <c r="P89" s="82"/>
      <c r="Q89" s="83"/>
      <c r="R89" s="168">
        <v>0.03</v>
      </c>
      <c r="S89" s="169">
        <f t="shared" si="42"/>
        <v>6.75</v>
      </c>
      <c r="T89" s="170">
        <f>T87*(2+3)</f>
        <v>231.75</v>
      </c>
      <c r="U89" s="169">
        <f t="shared" si="44"/>
        <v>231.75</v>
      </c>
      <c r="V89" s="106"/>
      <c r="W89" s="106"/>
      <c r="X89" s="182">
        <v>250.0</v>
      </c>
      <c r="Y89" s="112"/>
    </row>
    <row r="90">
      <c r="A90" s="159" t="s">
        <v>159</v>
      </c>
      <c r="B90" s="92">
        <v>315.0</v>
      </c>
      <c r="C90" s="4"/>
      <c r="D90" s="4"/>
      <c r="E90" s="4"/>
      <c r="F90" s="4"/>
      <c r="G90" s="4"/>
      <c r="H90" s="4"/>
      <c r="I90" s="4"/>
      <c r="J90" s="4"/>
      <c r="K90" s="91"/>
      <c r="L90" s="4"/>
      <c r="M90" s="4"/>
      <c r="N90" s="91"/>
      <c r="O90" s="4"/>
      <c r="P90" s="4"/>
      <c r="Q90" s="91"/>
      <c r="R90" s="160">
        <v>0.03</v>
      </c>
      <c r="S90" s="161">
        <f t="shared" si="42"/>
        <v>9.45</v>
      </c>
      <c r="T90" s="162">
        <f>T87*(5+2)</f>
        <v>324.45</v>
      </c>
      <c r="U90" s="161">
        <f t="shared" si="44"/>
        <v>324.45</v>
      </c>
      <c r="V90" s="110"/>
      <c r="W90" s="110"/>
      <c r="X90" s="165">
        <v>330.0</v>
      </c>
      <c r="Y90" s="114"/>
    </row>
    <row r="91">
      <c r="A91" s="167" t="s">
        <v>161</v>
      </c>
      <c r="B91" s="96">
        <v>405.0</v>
      </c>
      <c r="C91" s="82"/>
      <c r="D91" s="82"/>
      <c r="E91" s="82"/>
      <c r="F91" s="82"/>
      <c r="G91" s="82"/>
      <c r="H91" s="82"/>
      <c r="I91" s="82"/>
      <c r="J91" s="82"/>
      <c r="K91" s="83"/>
      <c r="L91" s="82"/>
      <c r="M91" s="82"/>
      <c r="N91" s="83"/>
      <c r="O91" s="82"/>
      <c r="P91" s="82"/>
      <c r="Q91" s="83"/>
      <c r="R91" s="168">
        <v>0.03</v>
      </c>
      <c r="S91" s="169">
        <f t="shared" si="42"/>
        <v>12.15</v>
      </c>
      <c r="T91" s="170">
        <f>S91+B91</f>
        <v>417.15</v>
      </c>
      <c r="U91" s="169">
        <f t="shared" si="44"/>
        <v>417.15</v>
      </c>
      <c r="V91" s="106"/>
      <c r="W91" s="106"/>
      <c r="X91" s="182">
        <v>420.0</v>
      </c>
      <c r="Y91" s="112"/>
    </row>
    <row r="92">
      <c r="A92" s="159" t="s">
        <v>162</v>
      </c>
      <c r="B92" s="92">
        <v>495.0</v>
      </c>
      <c r="C92" s="4"/>
      <c r="D92" s="4"/>
      <c r="E92" s="4"/>
      <c r="F92" s="4"/>
      <c r="G92" s="4"/>
      <c r="H92" s="4"/>
      <c r="I92" s="4"/>
      <c r="J92" s="4"/>
      <c r="K92" s="91"/>
      <c r="L92" s="4"/>
      <c r="M92" s="4"/>
      <c r="N92" s="91"/>
      <c r="O92" s="4"/>
      <c r="P92" s="4"/>
      <c r="Q92" s="91"/>
      <c r="R92" s="160">
        <v>0.03</v>
      </c>
      <c r="S92" s="161">
        <f t="shared" si="42"/>
        <v>14.85</v>
      </c>
      <c r="T92" s="162">
        <f>T87*(9+2)</f>
        <v>509.85</v>
      </c>
      <c r="U92" s="161">
        <f t="shared" si="44"/>
        <v>509.85</v>
      </c>
      <c r="V92" s="110"/>
      <c r="W92" s="110"/>
      <c r="X92" s="165">
        <v>510.0</v>
      </c>
      <c r="Y92" s="114"/>
    </row>
    <row r="93">
      <c r="A93" s="167" t="s">
        <v>163</v>
      </c>
      <c r="B93" s="96">
        <v>495.0</v>
      </c>
      <c r="C93" s="82"/>
      <c r="D93" s="82"/>
      <c r="E93" s="82"/>
      <c r="F93" s="82"/>
      <c r="G93" s="82"/>
      <c r="H93" s="82"/>
      <c r="I93" s="82"/>
      <c r="J93" s="82"/>
      <c r="K93" s="83"/>
      <c r="L93" s="82"/>
      <c r="M93" s="82"/>
      <c r="N93" s="83"/>
      <c r="O93" s="82"/>
      <c r="P93" s="82"/>
      <c r="Q93" s="83"/>
      <c r="R93" s="168">
        <v>0.03</v>
      </c>
      <c r="S93" s="169">
        <f t="shared" si="42"/>
        <v>14.85</v>
      </c>
      <c r="T93" s="170">
        <f>S93+B93</f>
        <v>509.85</v>
      </c>
      <c r="U93" s="169">
        <f t="shared" si="44"/>
        <v>509.85</v>
      </c>
      <c r="V93" s="106"/>
      <c r="W93" s="106"/>
      <c r="X93" s="182">
        <v>600.0</v>
      </c>
      <c r="Y93" s="112"/>
    </row>
    <row r="94">
      <c r="A94" s="159" t="s">
        <v>164</v>
      </c>
      <c r="B94" s="92">
        <v>675.0</v>
      </c>
      <c r="C94" s="4"/>
      <c r="D94" s="4"/>
      <c r="E94" s="4"/>
      <c r="F94" s="4"/>
      <c r="G94" s="4"/>
      <c r="H94" s="4"/>
      <c r="I94" s="4"/>
      <c r="J94" s="4"/>
      <c r="K94" s="91"/>
      <c r="L94" s="4"/>
      <c r="M94" s="4"/>
      <c r="N94" s="91"/>
      <c r="O94" s="4"/>
      <c r="P94" s="4"/>
      <c r="Q94" s="91"/>
      <c r="R94" s="160">
        <v>0.03</v>
      </c>
      <c r="S94" s="161">
        <f t="shared" si="42"/>
        <v>20.25</v>
      </c>
      <c r="T94" s="162">
        <f>T87*(13+2)</f>
        <v>695.25</v>
      </c>
      <c r="U94" s="161">
        <f t="shared" si="44"/>
        <v>695.25</v>
      </c>
      <c r="V94" s="110"/>
      <c r="W94" s="110"/>
      <c r="X94" s="165">
        <v>750.0</v>
      </c>
      <c r="Y94" s="114"/>
    </row>
    <row r="95">
      <c r="A95" s="167" t="s">
        <v>165</v>
      </c>
      <c r="B95" s="96">
        <v>90.0</v>
      </c>
      <c r="C95" s="82"/>
      <c r="D95" s="82"/>
      <c r="E95" s="82"/>
      <c r="F95" s="82"/>
      <c r="G95" s="82"/>
      <c r="H95" s="82"/>
      <c r="I95" s="82"/>
      <c r="J95" s="82"/>
      <c r="K95" s="83"/>
      <c r="L95" s="82"/>
      <c r="M95" s="82"/>
      <c r="N95" s="83"/>
      <c r="O95" s="82"/>
      <c r="P95" s="82"/>
      <c r="Q95" s="83"/>
      <c r="R95" s="168">
        <v>0.03</v>
      </c>
      <c r="S95" s="169">
        <f t="shared" si="42"/>
        <v>2.7</v>
      </c>
      <c r="T95" s="170">
        <f>T87*2</f>
        <v>92.7</v>
      </c>
      <c r="U95" s="169">
        <f t="shared" si="44"/>
        <v>92.7</v>
      </c>
      <c r="V95" s="106"/>
      <c r="W95" s="106"/>
      <c r="X95" s="169"/>
      <c r="Y95" s="112"/>
    </row>
    <row r="96">
      <c r="A96" s="183" t="s">
        <v>232</v>
      </c>
      <c r="B96" s="92" t="s">
        <v>233</v>
      </c>
      <c r="C96" s="4"/>
      <c r="D96" s="4"/>
      <c r="E96" s="4"/>
      <c r="F96" s="4"/>
      <c r="G96" s="4"/>
      <c r="H96" s="4"/>
      <c r="I96" s="4"/>
      <c r="J96" s="4"/>
      <c r="K96" s="91"/>
      <c r="L96" s="4"/>
      <c r="M96" s="4"/>
      <c r="N96" s="91"/>
      <c r="O96" s="4"/>
      <c r="P96" s="4"/>
      <c r="Q96" s="91"/>
      <c r="R96" s="160">
        <v>0.03</v>
      </c>
      <c r="S96" s="70" t="s">
        <v>234</v>
      </c>
      <c r="T96" s="73" t="s">
        <v>234</v>
      </c>
      <c r="U96" s="161" t="str">
        <f t="shared" si="44"/>
        <v>??</v>
      </c>
      <c r="V96" s="70"/>
      <c r="W96" s="70"/>
      <c r="X96" s="165"/>
      <c r="Y96" s="73"/>
    </row>
    <row r="97">
      <c r="A97" s="184" t="s">
        <v>235</v>
      </c>
      <c r="B97" s="96">
        <v>895.0</v>
      </c>
      <c r="C97" s="82"/>
      <c r="D97" s="82"/>
      <c r="E97" s="82"/>
      <c r="F97" s="82"/>
      <c r="G97" s="82"/>
      <c r="H97" s="82"/>
      <c r="I97" s="82"/>
      <c r="J97" s="82"/>
      <c r="K97" s="83"/>
      <c r="L97" s="82"/>
      <c r="M97" s="82"/>
      <c r="N97" s="83"/>
      <c r="O97" s="82"/>
      <c r="P97" s="82"/>
      <c r="Q97" s="83"/>
      <c r="R97" s="168">
        <v>0.03</v>
      </c>
      <c r="S97" s="169">
        <f t="shared" ref="S97:S101" si="45">R97*B97</f>
        <v>26.85</v>
      </c>
      <c r="T97" s="170">
        <f t="shared" ref="T97:T101" si="46">S97+B97</f>
        <v>921.85</v>
      </c>
      <c r="U97" s="169">
        <f t="shared" si="44"/>
        <v>921.85</v>
      </c>
      <c r="V97" s="185" t="s">
        <v>236</v>
      </c>
      <c r="W97" s="106"/>
      <c r="X97" s="182">
        <v>1200.0</v>
      </c>
      <c r="Y97" s="112"/>
    </row>
    <row r="98">
      <c r="A98" s="186" t="s">
        <v>169</v>
      </c>
      <c r="B98" s="92">
        <v>985.0</v>
      </c>
      <c r="C98" s="4"/>
      <c r="D98" s="4"/>
      <c r="E98" s="4"/>
      <c r="F98" s="4"/>
      <c r="G98" s="4"/>
      <c r="H98" s="4"/>
      <c r="I98" s="4"/>
      <c r="J98" s="4"/>
      <c r="K98" s="91"/>
      <c r="L98" s="4"/>
      <c r="M98" s="4"/>
      <c r="N98" s="91"/>
      <c r="O98" s="4"/>
      <c r="P98" s="4"/>
      <c r="Q98" s="91"/>
      <c r="R98" s="160">
        <v>0.03</v>
      </c>
      <c r="S98" s="161">
        <f t="shared" si="45"/>
        <v>29.55</v>
      </c>
      <c r="T98" s="162">
        <f t="shared" si="46"/>
        <v>1014.55</v>
      </c>
      <c r="U98" s="161">
        <f t="shared" si="44"/>
        <v>1014.55</v>
      </c>
      <c r="V98" s="110"/>
      <c r="W98" s="110"/>
      <c r="X98" s="165">
        <v>1100.0</v>
      </c>
      <c r="Y98" s="114"/>
    </row>
    <row r="99">
      <c r="A99" s="187" t="s">
        <v>172</v>
      </c>
      <c r="B99" s="96">
        <f>1895</f>
        <v>1895</v>
      </c>
      <c r="C99" s="82"/>
      <c r="D99" s="82"/>
      <c r="E99" s="82"/>
      <c r="F99" s="82"/>
      <c r="G99" s="82"/>
      <c r="H99" s="82"/>
      <c r="I99" s="82"/>
      <c r="J99" s="82"/>
      <c r="K99" s="83"/>
      <c r="L99" s="82"/>
      <c r="M99" s="82"/>
      <c r="N99" s="83"/>
      <c r="O99" s="82"/>
      <c r="P99" s="82"/>
      <c r="Q99" s="83"/>
      <c r="R99" s="168">
        <v>0.03</v>
      </c>
      <c r="S99" s="169">
        <f t="shared" si="45"/>
        <v>56.85</v>
      </c>
      <c r="T99" s="170">
        <f t="shared" si="46"/>
        <v>1951.85</v>
      </c>
      <c r="U99" s="169">
        <f t="shared" si="44"/>
        <v>1951.85</v>
      </c>
      <c r="V99" s="106"/>
      <c r="W99" s="106"/>
      <c r="X99" s="182">
        <v>2000.0</v>
      </c>
      <c r="Y99" s="112"/>
    </row>
    <row r="100">
      <c r="A100" s="188" t="s">
        <v>173</v>
      </c>
      <c r="B100" s="152">
        <v>85.0</v>
      </c>
      <c r="C100" s="4"/>
      <c r="D100" s="4"/>
      <c r="E100" s="4"/>
      <c r="F100" s="4"/>
      <c r="G100" s="4"/>
      <c r="H100" s="4"/>
      <c r="I100" s="4"/>
      <c r="J100" s="4"/>
      <c r="K100" s="91"/>
      <c r="L100" s="4"/>
      <c r="M100" s="4"/>
      <c r="N100" s="91"/>
      <c r="O100" s="4"/>
      <c r="P100" s="4"/>
      <c r="Q100" s="91"/>
      <c r="R100" s="160">
        <v>0.03</v>
      </c>
      <c r="S100" s="161">
        <f t="shared" si="45"/>
        <v>2.55</v>
      </c>
      <c r="T100" s="162">
        <f t="shared" si="46"/>
        <v>87.55</v>
      </c>
      <c r="U100" s="161">
        <v>87.55</v>
      </c>
      <c r="V100" s="69" t="s">
        <v>237</v>
      </c>
      <c r="W100" s="110"/>
      <c r="X100" s="165">
        <v>260.0</v>
      </c>
      <c r="Y100" s="114"/>
    </row>
    <row r="101">
      <c r="A101" s="189" t="s">
        <v>238</v>
      </c>
      <c r="B101" s="156">
        <v>0.6</v>
      </c>
      <c r="C101" s="82"/>
      <c r="D101" s="82"/>
      <c r="E101" s="82"/>
      <c r="F101" s="82"/>
      <c r="G101" s="82"/>
      <c r="H101" s="82"/>
      <c r="I101" s="82"/>
      <c r="J101" s="82"/>
      <c r="K101" s="83"/>
      <c r="L101" s="82"/>
      <c r="M101" s="82"/>
      <c r="N101" s="83"/>
      <c r="O101" s="82"/>
      <c r="P101" s="82"/>
      <c r="Q101" s="83"/>
      <c r="R101" s="168">
        <v>0.03</v>
      </c>
      <c r="S101" s="169">
        <f t="shared" si="45"/>
        <v>0.018</v>
      </c>
      <c r="T101" s="170">
        <f t="shared" si="46"/>
        <v>0.618</v>
      </c>
      <c r="U101" s="169">
        <v>0.618</v>
      </c>
      <c r="V101" s="106"/>
      <c r="W101" s="106"/>
      <c r="X101" s="169"/>
      <c r="Y101" s="112"/>
    </row>
    <row r="102">
      <c r="A102" s="190" t="s">
        <v>239</v>
      </c>
      <c r="B102" s="191"/>
      <c r="C102" s="192"/>
      <c r="D102" s="192"/>
      <c r="E102" s="192"/>
      <c r="F102" s="192"/>
      <c r="G102" s="192"/>
      <c r="H102" s="192"/>
      <c r="I102" s="192"/>
      <c r="J102" s="192"/>
      <c r="K102" s="192"/>
      <c r="L102" s="192"/>
      <c r="M102" s="192"/>
      <c r="N102" s="192"/>
      <c r="O102" s="192"/>
      <c r="P102" s="192"/>
      <c r="Q102" s="193"/>
      <c r="R102" s="194"/>
      <c r="S102" s="195"/>
      <c r="T102" s="196"/>
      <c r="U102" s="197">
        <v>360.0</v>
      </c>
      <c r="V102" s="198" t="s">
        <v>240</v>
      </c>
      <c r="W102" s="195"/>
      <c r="X102" s="199">
        <v>360.0</v>
      </c>
      <c r="Y102" s="196"/>
    </row>
    <row r="103">
      <c r="A103" s="200" t="s">
        <v>241</v>
      </c>
      <c r="B103" s="201"/>
      <c r="C103" s="202"/>
      <c r="D103" s="202"/>
      <c r="E103" s="202"/>
      <c r="F103" s="202"/>
      <c r="G103" s="202"/>
      <c r="H103" s="202"/>
      <c r="I103" s="202"/>
      <c r="J103" s="202"/>
      <c r="K103" s="202"/>
      <c r="L103" s="202"/>
      <c r="M103" s="202"/>
      <c r="N103" s="202"/>
      <c r="O103" s="202"/>
      <c r="P103" s="202"/>
      <c r="Q103" s="203"/>
      <c r="R103" s="204"/>
      <c r="S103" s="205"/>
      <c r="T103" s="206"/>
      <c r="U103" s="207">
        <v>125.0</v>
      </c>
      <c r="V103" s="208" t="s">
        <v>240</v>
      </c>
      <c r="W103" s="205"/>
      <c r="X103" s="209">
        <v>125.0</v>
      </c>
      <c r="Y103" s="206"/>
    </row>
    <row r="104">
      <c r="A104" s="210" t="s">
        <v>242</v>
      </c>
      <c r="B104" s="191"/>
      <c r="C104" s="192"/>
      <c r="D104" s="192"/>
      <c r="E104" s="192"/>
      <c r="F104" s="192"/>
      <c r="G104" s="192"/>
      <c r="H104" s="192"/>
      <c r="I104" s="192"/>
      <c r="J104" s="192"/>
      <c r="K104" s="192"/>
      <c r="L104" s="192"/>
      <c r="M104" s="192"/>
      <c r="N104" s="192"/>
      <c r="O104" s="192"/>
      <c r="P104" s="192"/>
      <c r="Q104" s="193"/>
      <c r="R104" s="194"/>
      <c r="S104" s="195"/>
      <c r="T104" s="196"/>
      <c r="U104" s="197">
        <v>500.0</v>
      </c>
      <c r="V104" s="198" t="s">
        <v>240</v>
      </c>
      <c r="W104" s="195"/>
      <c r="X104" s="199">
        <v>500.0</v>
      </c>
      <c r="Y104" s="196"/>
    </row>
    <row r="105">
      <c r="A105" s="211" t="s">
        <v>243</v>
      </c>
      <c r="B105" s="201"/>
      <c r="C105" s="202"/>
      <c r="D105" s="202"/>
      <c r="E105" s="202"/>
      <c r="F105" s="202"/>
      <c r="G105" s="202"/>
      <c r="H105" s="202"/>
      <c r="I105" s="202"/>
      <c r="J105" s="202"/>
      <c r="K105" s="202"/>
      <c r="L105" s="202"/>
      <c r="M105" s="202"/>
      <c r="N105" s="202"/>
      <c r="O105" s="202"/>
      <c r="P105" s="202"/>
      <c r="Q105" s="203"/>
      <c r="R105" s="204"/>
      <c r="S105" s="205"/>
      <c r="T105" s="206"/>
      <c r="U105" s="207">
        <v>1500.0</v>
      </c>
      <c r="V105" s="208" t="s">
        <v>240</v>
      </c>
      <c r="W105" s="205"/>
      <c r="X105" s="209">
        <v>1500.0</v>
      </c>
      <c r="Y105" s="206"/>
    </row>
    <row r="106">
      <c r="A106" s="99" t="s">
        <v>25</v>
      </c>
      <c r="B106" s="100"/>
      <c r="C106" s="100"/>
      <c r="D106" s="100"/>
      <c r="E106" s="100"/>
      <c r="F106" s="100"/>
      <c r="G106" s="100"/>
      <c r="H106" s="100"/>
      <c r="I106" s="100"/>
      <c r="J106" s="100"/>
      <c r="K106" s="100"/>
      <c r="L106" s="101"/>
      <c r="M106" s="101"/>
      <c r="N106" s="101"/>
      <c r="O106" s="100"/>
      <c r="P106" s="100"/>
      <c r="Q106" s="102"/>
      <c r="R106" s="100"/>
      <c r="S106" s="100"/>
      <c r="T106" s="102"/>
      <c r="U106" s="100"/>
      <c r="V106" s="100"/>
      <c r="W106" s="100"/>
      <c r="X106" s="100"/>
      <c r="Y106" s="102"/>
    </row>
    <row r="107">
      <c r="A107" s="212" t="s">
        <v>26</v>
      </c>
      <c r="B107" s="213">
        <f>-0.1*117.99</f>
        <v>-11.799</v>
      </c>
      <c r="C107" s="82"/>
      <c r="D107" s="82"/>
      <c r="E107" s="82"/>
      <c r="F107" s="82"/>
      <c r="G107" s="82"/>
      <c r="H107" s="82"/>
      <c r="I107" s="82"/>
      <c r="J107" s="82"/>
      <c r="K107" s="82"/>
      <c r="L107" s="82"/>
      <c r="M107" s="82"/>
      <c r="N107" s="82"/>
      <c r="O107" s="82"/>
      <c r="P107" s="82"/>
      <c r="Q107" s="82"/>
      <c r="R107" s="82"/>
      <c r="S107" s="82"/>
      <c r="T107" s="82"/>
      <c r="U107" s="213">
        <f>-0.1*121.53</f>
        <v>-12.153</v>
      </c>
      <c r="V107" s="214"/>
      <c r="W107" s="214"/>
      <c r="X107" s="82"/>
      <c r="Y107" s="82"/>
    </row>
    <row r="108">
      <c r="U108" s="4"/>
    </row>
    <row r="109">
      <c r="U109" s="4"/>
    </row>
    <row r="110">
      <c r="U110" s="4"/>
    </row>
    <row r="111">
      <c r="U111" s="4"/>
    </row>
    <row r="112">
      <c r="U112" s="4"/>
    </row>
    <row r="113">
      <c r="U113" s="4"/>
    </row>
    <row r="114">
      <c r="U114" s="4"/>
    </row>
    <row r="115">
      <c r="U115" s="4"/>
    </row>
    <row r="116">
      <c r="U116" s="4"/>
    </row>
    <row r="117">
      <c r="U117" s="4"/>
    </row>
    <row r="118">
      <c r="U118" s="4"/>
    </row>
    <row r="119">
      <c r="U119" s="4"/>
    </row>
    <row r="120">
      <c r="U120" s="4"/>
    </row>
    <row r="121">
      <c r="U121" s="4"/>
    </row>
    <row r="122">
      <c r="U122" s="4"/>
    </row>
    <row r="123">
      <c r="U123" s="4"/>
    </row>
    <row r="124">
      <c r="U124" s="4"/>
    </row>
    <row r="125">
      <c r="U125" s="4"/>
    </row>
    <row r="126">
      <c r="U126" s="4"/>
    </row>
    <row r="127">
      <c r="U127" s="4"/>
    </row>
    <row r="128">
      <c r="U128" s="4"/>
    </row>
    <row r="129">
      <c r="U129" s="4"/>
    </row>
    <row r="130">
      <c r="U130" s="4"/>
    </row>
    <row r="131">
      <c r="U131" s="4"/>
    </row>
    <row r="132">
      <c r="U132" s="4"/>
    </row>
    <row r="133">
      <c r="U133" s="4"/>
    </row>
    <row r="134">
      <c r="U134" s="4"/>
    </row>
    <row r="135">
      <c r="U135" s="4"/>
    </row>
    <row r="136">
      <c r="U136" s="4"/>
    </row>
    <row r="137">
      <c r="U137" s="4"/>
    </row>
    <row r="138">
      <c r="U138" s="4"/>
    </row>
    <row r="139">
      <c r="U139" s="4"/>
    </row>
    <row r="140">
      <c r="U140" s="4"/>
    </row>
    <row r="141">
      <c r="U141" s="4"/>
    </row>
    <row r="142">
      <c r="U142" s="4"/>
    </row>
    <row r="143">
      <c r="U143" s="4"/>
    </row>
    <row r="144">
      <c r="U144" s="4"/>
    </row>
    <row r="145">
      <c r="U145" s="4"/>
    </row>
    <row r="146">
      <c r="U146" s="4"/>
    </row>
    <row r="147">
      <c r="U147" s="4"/>
    </row>
    <row r="148">
      <c r="U148" s="4"/>
    </row>
    <row r="149">
      <c r="U149" s="4"/>
    </row>
    <row r="150">
      <c r="U150" s="4"/>
    </row>
    <row r="151">
      <c r="U151" s="4"/>
    </row>
    <row r="152">
      <c r="U152" s="4"/>
    </row>
    <row r="153">
      <c r="U153" s="4"/>
    </row>
    <row r="154">
      <c r="U154" s="4"/>
    </row>
    <row r="155">
      <c r="U155" s="4"/>
    </row>
    <row r="156">
      <c r="U156" s="4"/>
    </row>
    <row r="157">
      <c r="U157" s="4"/>
    </row>
    <row r="158">
      <c r="U158" s="4"/>
    </row>
    <row r="159">
      <c r="U159" s="4"/>
    </row>
    <row r="160">
      <c r="U160" s="4"/>
    </row>
    <row r="161">
      <c r="U161" s="4"/>
    </row>
    <row r="162">
      <c r="U162" s="4"/>
    </row>
    <row r="163">
      <c r="U163" s="4"/>
    </row>
    <row r="164">
      <c r="U164" s="4"/>
    </row>
    <row r="165">
      <c r="U165" s="4"/>
    </row>
    <row r="166">
      <c r="U166" s="4"/>
    </row>
    <row r="167">
      <c r="U167" s="4"/>
    </row>
    <row r="168">
      <c r="U168" s="4"/>
    </row>
    <row r="169">
      <c r="U169" s="4"/>
    </row>
    <row r="170">
      <c r="U170" s="4"/>
    </row>
    <row r="171">
      <c r="U171" s="4"/>
    </row>
    <row r="172">
      <c r="U172" s="4"/>
    </row>
    <row r="173">
      <c r="U173" s="4"/>
    </row>
    <row r="174">
      <c r="U174" s="4"/>
    </row>
    <row r="175">
      <c r="U175" s="4"/>
    </row>
    <row r="176">
      <c r="U176" s="4"/>
    </row>
    <row r="177">
      <c r="U177" s="4"/>
    </row>
    <row r="178">
      <c r="U178" s="4"/>
    </row>
    <row r="179">
      <c r="U179" s="4"/>
    </row>
    <row r="180">
      <c r="U180" s="4"/>
    </row>
    <row r="181">
      <c r="U181" s="4"/>
    </row>
    <row r="182">
      <c r="U182" s="4"/>
    </row>
    <row r="183">
      <c r="U183" s="4"/>
    </row>
    <row r="184">
      <c r="U184" s="4"/>
    </row>
    <row r="185">
      <c r="U185" s="4"/>
    </row>
    <row r="186">
      <c r="U186" s="4"/>
    </row>
    <row r="187">
      <c r="U187" s="4"/>
    </row>
    <row r="188">
      <c r="U188" s="4"/>
    </row>
    <row r="189">
      <c r="U189" s="4"/>
    </row>
    <row r="190">
      <c r="U190" s="4"/>
    </row>
    <row r="191">
      <c r="U191" s="4"/>
    </row>
    <row r="192">
      <c r="U192" s="4"/>
    </row>
    <row r="193">
      <c r="U193" s="4"/>
    </row>
    <row r="194">
      <c r="U194" s="4"/>
    </row>
    <row r="195">
      <c r="U195" s="4"/>
    </row>
    <row r="196">
      <c r="U196" s="4"/>
    </row>
    <row r="197">
      <c r="U197" s="4"/>
    </row>
    <row r="198">
      <c r="U198" s="4"/>
    </row>
    <row r="199">
      <c r="U199" s="4"/>
    </row>
    <row r="200">
      <c r="U200" s="4"/>
    </row>
    <row r="201">
      <c r="U201" s="4"/>
    </row>
    <row r="202">
      <c r="U202" s="4"/>
    </row>
    <row r="203">
      <c r="U203" s="4"/>
    </row>
    <row r="204">
      <c r="U204" s="4"/>
    </row>
    <row r="205">
      <c r="U205" s="4"/>
    </row>
    <row r="206">
      <c r="U206" s="4"/>
    </row>
    <row r="207">
      <c r="U207" s="4"/>
    </row>
    <row r="208">
      <c r="U208" s="4"/>
    </row>
    <row r="209">
      <c r="U209" s="4"/>
    </row>
    <row r="210">
      <c r="U210" s="4"/>
    </row>
    <row r="211">
      <c r="U211" s="4"/>
    </row>
    <row r="212">
      <c r="U212" s="4"/>
    </row>
    <row r="213">
      <c r="U213" s="4"/>
    </row>
    <row r="214">
      <c r="U214" s="4"/>
    </row>
    <row r="215">
      <c r="U215" s="4"/>
    </row>
    <row r="216">
      <c r="U216" s="4"/>
    </row>
    <row r="217">
      <c r="U217" s="4"/>
    </row>
    <row r="218">
      <c r="U218" s="4"/>
    </row>
    <row r="219">
      <c r="U219" s="4"/>
    </row>
    <row r="220">
      <c r="U220" s="4"/>
    </row>
    <row r="221">
      <c r="U221" s="4"/>
    </row>
    <row r="222">
      <c r="U222" s="4"/>
    </row>
    <row r="223">
      <c r="U223" s="4"/>
    </row>
    <row r="224">
      <c r="U224" s="4"/>
    </row>
    <row r="225">
      <c r="U225" s="4"/>
    </row>
    <row r="226">
      <c r="U226" s="4"/>
    </row>
    <row r="227">
      <c r="U227" s="4"/>
    </row>
    <row r="228">
      <c r="U228" s="4"/>
    </row>
    <row r="229">
      <c r="U229" s="4"/>
    </row>
    <row r="230">
      <c r="U230" s="4"/>
    </row>
    <row r="231">
      <c r="U231" s="4"/>
    </row>
    <row r="232">
      <c r="U232" s="4"/>
    </row>
    <row r="233">
      <c r="U233" s="4"/>
    </row>
    <row r="234">
      <c r="U234" s="4"/>
    </row>
    <row r="235">
      <c r="U235" s="4"/>
    </row>
    <row r="236">
      <c r="U236" s="4"/>
    </row>
    <row r="237">
      <c r="U237" s="4"/>
    </row>
    <row r="238">
      <c r="U238" s="4"/>
    </row>
    <row r="239">
      <c r="U239" s="4"/>
    </row>
    <row r="240">
      <c r="U240" s="4"/>
    </row>
    <row r="241">
      <c r="U241" s="4"/>
    </row>
    <row r="242">
      <c r="U242" s="4"/>
    </row>
    <row r="243">
      <c r="U243" s="4"/>
    </row>
    <row r="244">
      <c r="U244" s="4"/>
    </row>
    <row r="245">
      <c r="U245" s="4"/>
    </row>
    <row r="246">
      <c r="U246" s="4"/>
    </row>
    <row r="247">
      <c r="U247" s="4"/>
    </row>
    <row r="248">
      <c r="U248" s="4"/>
    </row>
    <row r="249">
      <c r="U249" s="4"/>
    </row>
    <row r="250">
      <c r="U250" s="4"/>
    </row>
    <row r="251">
      <c r="U251" s="4"/>
    </row>
    <row r="252">
      <c r="U252" s="4"/>
    </row>
    <row r="253">
      <c r="U253" s="4"/>
    </row>
    <row r="254">
      <c r="U254" s="4"/>
    </row>
    <row r="255">
      <c r="U255" s="4"/>
    </row>
    <row r="256">
      <c r="U256" s="4"/>
    </row>
    <row r="257">
      <c r="U257" s="4"/>
    </row>
    <row r="258">
      <c r="U258" s="4"/>
    </row>
    <row r="259">
      <c r="U259" s="4"/>
    </row>
    <row r="260">
      <c r="U260" s="4"/>
    </row>
    <row r="261">
      <c r="U261" s="4"/>
    </row>
    <row r="262">
      <c r="U262" s="4"/>
    </row>
    <row r="263">
      <c r="U263" s="4"/>
    </row>
    <row r="264">
      <c r="U264" s="4"/>
    </row>
    <row r="265">
      <c r="U265" s="4"/>
    </row>
    <row r="266">
      <c r="U266" s="4"/>
    </row>
    <row r="267">
      <c r="U267" s="4"/>
    </row>
    <row r="268">
      <c r="U268" s="4"/>
    </row>
    <row r="269">
      <c r="U269" s="4"/>
    </row>
    <row r="270">
      <c r="U270" s="4"/>
    </row>
    <row r="271">
      <c r="U271" s="4"/>
    </row>
    <row r="272">
      <c r="U272" s="4"/>
    </row>
    <row r="273">
      <c r="U273" s="4"/>
    </row>
    <row r="274">
      <c r="U274" s="4"/>
    </row>
    <row r="275">
      <c r="U275" s="4"/>
    </row>
    <row r="276">
      <c r="U276" s="4"/>
    </row>
    <row r="277">
      <c r="U277" s="4"/>
    </row>
    <row r="278">
      <c r="U278" s="4"/>
    </row>
    <row r="279">
      <c r="U279" s="4"/>
    </row>
    <row r="280">
      <c r="U280" s="4"/>
    </row>
    <row r="281">
      <c r="U281" s="4"/>
    </row>
    <row r="282">
      <c r="U282" s="4"/>
    </row>
    <row r="283">
      <c r="U283" s="4"/>
    </row>
    <row r="284">
      <c r="U284" s="4"/>
    </row>
    <row r="285">
      <c r="U285" s="4"/>
    </row>
    <row r="286">
      <c r="U286" s="4"/>
    </row>
    <row r="287">
      <c r="U287" s="4"/>
    </row>
    <row r="288">
      <c r="U288" s="4"/>
    </row>
    <row r="289">
      <c r="U289" s="4"/>
    </row>
    <row r="290">
      <c r="U290" s="4"/>
    </row>
    <row r="291">
      <c r="U291" s="4"/>
    </row>
    <row r="292">
      <c r="U292" s="4"/>
    </row>
    <row r="293">
      <c r="U293" s="4"/>
    </row>
    <row r="294">
      <c r="U294" s="4"/>
    </row>
    <row r="295">
      <c r="U295" s="4"/>
    </row>
    <row r="296">
      <c r="U296" s="4"/>
    </row>
    <row r="297">
      <c r="U297" s="4"/>
    </row>
    <row r="298">
      <c r="U298" s="4"/>
    </row>
    <row r="299">
      <c r="U299" s="4"/>
    </row>
    <row r="300">
      <c r="U300" s="4"/>
    </row>
    <row r="301">
      <c r="U301" s="4"/>
    </row>
    <row r="302">
      <c r="U302" s="4"/>
    </row>
    <row r="303">
      <c r="U303" s="4"/>
    </row>
    <row r="304">
      <c r="U304" s="4"/>
    </row>
    <row r="305">
      <c r="U305" s="4"/>
    </row>
    <row r="306">
      <c r="U306" s="4"/>
    </row>
    <row r="307">
      <c r="U307" s="4"/>
    </row>
    <row r="308">
      <c r="U308" s="4"/>
    </row>
    <row r="309">
      <c r="U309" s="4"/>
    </row>
    <row r="310">
      <c r="U310" s="4"/>
    </row>
    <row r="311">
      <c r="U311" s="4"/>
    </row>
    <row r="312">
      <c r="U312" s="4"/>
    </row>
    <row r="313">
      <c r="U313" s="4"/>
    </row>
    <row r="314">
      <c r="U314" s="4"/>
    </row>
    <row r="315">
      <c r="U315" s="4"/>
    </row>
    <row r="316">
      <c r="U316" s="4"/>
    </row>
    <row r="317">
      <c r="U317" s="4"/>
    </row>
    <row r="318">
      <c r="U318" s="4"/>
    </row>
    <row r="319">
      <c r="U319" s="4"/>
    </row>
    <row r="320">
      <c r="U320" s="4"/>
    </row>
    <row r="321">
      <c r="U321" s="4"/>
    </row>
    <row r="322">
      <c r="U322" s="4"/>
    </row>
    <row r="323">
      <c r="U323" s="4"/>
    </row>
    <row r="324">
      <c r="U324" s="4"/>
    </row>
    <row r="325">
      <c r="U325" s="4"/>
    </row>
    <row r="326">
      <c r="U326" s="4"/>
    </row>
    <row r="327">
      <c r="U327" s="4"/>
    </row>
    <row r="328">
      <c r="U328" s="4"/>
    </row>
    <row r="329">
      <c r="U329" s="4"/>
    </row>
    <row r="330">
      <c r="U330" s="4"/>
    </row>
    <row r="331">
      <c r="U331" s="4"/>
    </row>
    <row r="332">
      <c r="U332" s="4"/>
    </row>
    <row r="333">
      <c r="U333" s="4"/>
    </row>
    <row r="334">
      <c r="U334" s="4"/>
    </row>
    <row r="335">
      <c r="U335" s="4"/>
    </row>
    <row r="336">
      <c r="U336" s="4"/>
    </row>
    <row r="337">
      <c r="U337" s="4"/>
    </row>
    <row r="338">
      <c r="U338" s="4"/>
    </row>
    <row r="339">
      <c r="U339" s="4"/>
    </row>
    <row r="340">
      <c r="U340" s="4"/>
    </row>
    <row r="341">
      <c r="U341" s="4"/>
    </row>
    <row r="342">
      <c r="U342" s="4"/>
    </row>
    <row r="343">
      <c r="U343" s="4"/>
    </row>
    <row r="344">
      <c r="U344" s="4"/>
    </row>
    <row r="345">
      <c r="U345" s="4"/>
    </row>
    <row r="346">
      <c r="U346" s="4"/>
    </row>
    <row r="347">
      <c r="U347" s="4"/>
    </row>
    <row r="348">
      <c r="U348" s="4"/>
    </row>
    <row r="349">
      <c r="U349" s="4"/>
    </row>
    <row r="350">
      <c r="U350" s="4"/>
    </row>
    <row r="351">
      <c r="U351" s="4"/>
    </row>
    <row r="352">
      <c r="U352" s="4"/>
    </row>
    <row r="353">
      <c r="U353" s="4"/>
    </row>
    <row r="354">
      <c r="U354" s="4"/>
    </row>
    <row r="355">
      <c r="U355" s="4"/>
    </row>
    <row r="356">
      <c r="U356" s="4"/>
    </row>
    <row r="357">
      <c r="U357" s="4"/>
    </row>
    <row r="358">
      <c r="U358" s="4"/>
    </row>
    <row r="359">
      <c r="U359" s="4"/>
    </row>
    <row r="360">
      <c r="U360" s="4"/>
    </row>
    <row r="361">
      <c r="U361" s="4"/>
    </row>
    <row r="362">
      <c r="U362" s="4"/>
    </row>
    <row r="363">
      <c r="U363" s="4"/>
    </row>
    <row r="364">
      <c r="U364" s="4"/>
    </row>
    <row r="365">
      <c r="U365" s="4"/>
    </row>
    <row r="366">
      <c r="U366" s="4"/>
    </row>
    <row r="367">
      <c r="U367" s="4"/>
    </row>
    <row r="368">
      <c r="U368" s="4"/>
    </row>
    <row r="369">
      <c r="U369" s="4"/>
    </row>
    <row r="370">
      <c r="U370" s="4"/>
    </row>
    <row r="371">
      <c r="U371" s="4"/>
    </row>
    <row r="372">
      <c r="U372" s="4"/>
    </row>
    <row r="373">
      <c r="U373" s="4"/>
    </row>
    <row r="374">
      <c r="U374" s="4"/>
    </row>
    <row r="375">
      <c r="U375" s="4"/>
    </row>
    <row r="376">
      <c r="U376" s="4"/>
    </row>
    <row r="377">
      <c r="U377" s="4"/>
    </row>
    <row r="378">
      <c r="U378" s="4"/>
    </row>
    <row r="379">
      <c r="U379" s="4"/>
    </row>
    <row r="380">
      <c r="U380" s="4"/>
    </row>
    <row r="381">
      <c r="U381" s="4"/>
    </row>
    <row r="382">
      <c r="U382" s="4"/>
    </row>
    <row r="383">
      <c r="U383" s="4"/>
    </row>
    <row r="384">
      <c r="U384" s="4"/>
    </row>
    <row r="385">
      <c r="U385" s="4"/>
    </row>
    <row r="386">
      <c r="U386" s="4"/>
    </row>
    <row r="387">
      <c r="U387" s="4"/>
    </row>
    <row r="388">
      <c r="U388" s="4"/>
    </row>
    <row r="389">
      <c r="U389" s="4"/>
    </row>
    <row r="390">
      <c r="U390" s="4"/>
    </row>
    <row r="391">
      <c r="U391" s="4"/>
    </row>
    <row r="392">
      <c r="U392" s="4"/>
    </row>
    <row r="393">
      <c r="U393" s="4"/>
    </row>
    <row r="394">
      <c r="U394" s="4"/>
    </row>
    <row r="395">
      <c r="U395" s="4"/>
    </row>
    <row r="396">
      <c r="U396" s="4"/>
    </row>
    <row r="397">
      <c r="U397" s="4"/>
    </row>
    <row r="398">
      <c r="U398" s="4"/>
    </row>
    <row r="399">
      <c r="U399" s="4"/>
    </row>
    <row r="400">
      <c r="U400" s="4"/>
    </row>
    <row r="401">
      <c r="U401" s="4"/>
    </row>
    <row r="402">
      <c r="U402" s="4"/>
    </row>
    <row r="403">
      <c r="U403" s="4"/>
    </row>
    <row r="404">
      <c r="U404" s="4"/>
    </row>
    <row r="405">
      <c r="U405" s="4"/>
    </row>
    <row r="406">
      <c r="U406" s="4"/>
    </row>
    <row r="407">
      <c r="U407" s="4"/>
    </row>
    <row r="408">
      <c r="U408" s="4"/>
    </row>
    <row r="409">
      <c r="U409" s="4"/>
    </row>
    <row r="410">
      <c r="U410" s="4"/>
    </row>
    <row r="411">
      <c r="U411" s="4"/>
    </row>
    <row r="412">
      <c r="U412" s="4"/>
    </row>
    <row r="413">
      <c r="U413" s="4"/>
    </row>
    <row r="414">
      <c r="U414" s="4"/>
    </row>
    <row r="415">
      <c r="U415" s="4"/>
    </row>
    <row r="416">
      <c r="U416" s="4"/>
    </row>
    <row r="417">
      <c r="U417" s="4"/>
    </row>
    <row r="418">
      <c r="U418" s="4"/>
    </row>
    <row r="419">
      <c r="U419" s="4"/>
    </row>
    <row r="420">
      <c r="U420" s="4"/>
    </row>
    <row r="421">
      <c r="U421" s="4"/>
    </row>
    <row r="422">
      <c r="U422" s="4"/>
    </row>
    <row r="423">
      <c r="U423" s="4"/>
    </row>
    <row r="424">
      <c r="U424" s="4"/>
    </row>
    <row r="425">
      <c r="U425" s="4"/>
    </row>
    <row r="426">
      <c r="U426" s="4"/>
    </row>
    <row r="427">
      <c r="U427" s="4"/>
    </row>
    <row r="428">
      <c r="U428" s="4"/>
    </row>
    <row r="429">
      <c r="U429" s="4"/>
    </row>
    <row r="430">
      <c r="U430" s="4"/>
    </row>
    <row r="431">
      <c r="U431" s="4"/>
    </row>
    <row r="432">
      <c r="U432" s="4"/>
    </row>
    <row r="433">
      <c r="U433" s="4"/>
    </row>
    <row r="434">
      <c r="U434" s="4"/>
    </row>
    <row r="435">
      <c r="U435" s="4"/>
    </row>
    <row r="436">
      <c r="U436" s="4"/>
    </row>
    <row r="437">
      <c r="U437" s="4"/>
    </row>
    <row r="438">
      <c r="U438" s="4"/>
    </row>
    <row r="439">
      <c r="U439" s="4"/>
    </row>
    <row r="440">
      <c r="U440" s="4"/>
    </row>
    <row r="441">
      <c r="U441" s="4"/>
    </row>
    <row r="442">
      <c r="U442" s="4"/>
    </row>
    <row r="443">
      <c r="U443" s="4"/>
    </row>
    <row r="444">
      <c r="U444" s="4"/>
    </row>
    <row r="445">
      <c r="U445" s="4"/>
    </row>
    <row r="446">
      <c r="U446" s="4"/>
    </row>
    <row r="447">
      <c r="U447" s="4"/>
    </row>
    <row r="448">
      <c r="U448" s="4"/>
    </row>
    <row r="449">
      <c r="U449" s="4"/>
    </row>
    <row r="450">
      <c r="U450" s="4"/>
    </row>
    <row r="451">
      <c r="U451" s="4"/>
    </row>
    <row r="452">
      <c r="U452" s="4"/>
    </row>
    <row r="453">
      <c r="U453" s="4"/>
    </row>
    <row r="454">
      <c r="U454" s="4"/>
    </row>
    <row r="455">
      <c r="U455" s="4"/>
    </row>
    <row r="456">
      <c r="U456" s="4"/>
    </row>
    <row r="457">
      <c r="U457" s="4"/>
    </row>
    <row r="458">
      <c r="U458" s="4"/>
    </row>
    <row r="459">
      <c r="U459" s="4"/>
    </row>
    <row r="460">
      <c r="U460" s="4"/>
    </row>
    <row r="461">
      <c r="U461" s="4"/>
    </row>
    <row r="462">
      <c r="U462" s="4"/>
    </row>
    <row r="463">
      <c r="U463" s="4"/>
    </row>
    <row r="464">
      <c r="U464" s="4"/>
    </row>
    <row r="465">
      <c r="U465" s="4"/>
    </row>
    <row r="466">
      <c r="U466" s="4"/>
    </row>
    <row r="467">
      <c r="U467" s="4"/>
    </row>
    <row r="468">
      <c r="U468" s="4"/>
    </row>
    <row r="469">
      <c r="U469" s="4"/>
    </row>
    <row r="470">
      <c r="U470" s="4"/>
    </row>
    <row r="471">
      <c r="U471" s="4"/>
    </row>
    <row r="472">
      <c r="U472" s="4"/>
    </row>
    <row r="473">
      <c r="U473" s="4"/>
    </row>
    <row r="474">
      <c r="U474" s="4"/>
    </row>
    <row r="475">
      <c r="U475" s="4"/>
    </row>
    <row r="476">
      <c r="U476" s="4"/>
    </row>
    <row r="477">
      <c r="U477" s="4"/>
    </row>
    <row r="478">
      <c r="U478" s="4"/>
    </row>
    <row r="479">
      <c r="U479" s="4"/>
    </row>
    <row r="480">
      <c r="U480" s="4"/>
    </row>
    <row r="481">
      <c r="U481" s="4"/>
    </row>
    <row r="482">
      <c r="U482" s="4"/>
    </row>
    <row r="483">
      <c r="U483" s="4"/>
    </row>
    <row r="484">
      <c r="U484" s="4"/>
    </row>
    <row r="485">
      <c r="U485" s="4"/>
    </row>
    <row r="486">
      <c r="U486" s="4"/>
    </row>
    <row r="487">
      <c r="U487" s="4"/>
    </row>
    <row r="488">
      <c r="U488" s="4"/>
    </row>
    <row r="489">
      <c r="U489" s="4"/>
    </row>
    <row r="490">
      <c r="U490" s="4"/>
    </row>
    <row r="491">
      <c r="U491" s="4"/>
    </row>
    <row r="492">
      <c r="U492" s="4"/>
    </row>
    <row r="493">
      <c r="U493" s="4"/>
    </row>
    <row r="494">
      <c r="U494" s="4"/>
    </row>
    <row r="495">
      <c r="U495" s="4"/>
    </row>
    <row r="496">
      <c r="U496" s="4"/>
    </row>
    <row r="497">
      <c r="U497" s="4"/>
    </row>
    <row r="498">
      <c r="U498" s="4"/>
    </row>
    <row r="499">
      <c r="U499" s="4"/>
    </row>
    <row r="500">
      <c r="U500" s="4"/>
    </row>
    <row r="501">
      <c r="U501" s="4"/>
    </row>
    <row r="502">
      <c r="U502" s="4"/>
    </row>
    <row r="503">
      <c r="U503" s="4"/>
    </row>
    <row r="504">
      <c r="U504" s="4"/>
    </row>
    <row r="505">
      <c r="U505" s="4"/>
    </row>
    <row r="506">
      <c r="U506" s="4"/>
    </row>
    <row r="507">
      <c r="U507" s="4"/>
    </row>
    <row r="508">
      <c r="U508" s="4"/>
    </row>
    <row r="509">
      <c r="U509" s="4"/>
    </row>
    <row r="510">
      <c r="U510" s="4"/>
    </row>
    <row r="511">
      <c r="U511" s="4"/>
    </row>
    <row r="512">
      <c r="U512" s="4"/>
    </row>
    <row r="513">
      <c r="U513" s="4"/>
    </row>
    <row r="514">
      <c r="U514" s="4"/>
    </row>
    <row r="515">
      <c r="U515" s="4"/>
    </row>
    <row r="516">
      <c r="U516" s="4"/>
    </row>
    <row r="517">
      <c r="U517" s="4"/>
    </row>
    <row r="518">
      <c r="U518" s="4"/>
    </row>
    <row r="519">
      <c r="U519" s="4"/>
    </row>
    <row r="520">
      <c r="U520" s="4"/>
    </row>
    <row r="521">
      <c r="U521" s="4"/>
    </row>
    <row r="522">
      <c r="U522" s="4"/>
    </row>
    <row r="523">
      <c r="U523" s="4"/>
    </row>
    <row r="524">
      <c r="U524" s="4"/>
    </row>
    <row r="525">
      <c r="U525" s="4"/>
    </row>
    <row r="526">
      <c r="U526" s="4"/>
    </row>
    <row r="527">
      <c r="U527" s="4"/>
    </row>
    <row r="528">
      <c r="U528" s="4"/>
    </row>
    <row r="529">
      <c r="U529" s="4"/>
    </row>
    <row r="530">
      <c r="U530" s="4"/>
    </row>
    <row r="531">
      <c r="U531" s="4"/>
    </row>
    <row r="532">
      <c r="U532" s="4"/>
    </row>
    <row r="533">
      <c r="U533" s="4"/>
    </row>
    <row r="534">
      <c r="U534" s="4"/>
    </row>
    <row r="535">
      <c r="U535" s="4"/>
    </row>
    <row r="536">
      <c r="U536" s="4"/>
    </row>
    <row r="537">
      <c r="U537" s="4"/>
    </row>
    <row r="538">
      <c r="U538" s="4"/>
    </row>
    <row r="539">
      <c r="U539" s="4"/>
    </row>
    <row r="540">
      <c r="U540" s="4"/>
    </row>
    <row r="541">
      <c r="U541" s="4"/>
    </row>
    <row r="542">
      <c r="U542" s="4"/>
    </row>
    <row r="543">
      <c r="U543" s="4"/>
    </row>
    <row r="544">
      <c r="U544" s="4"/>
    </row>
    <row r="545">
      <c r="U545" s="4"/>
    </row>
    <row r="546">
      <c r="U546" s="4"/>
    </row>
    <row r="547">
      <c r="U547" s="4"/>
    </row>
    <row r="548">
      <c r="U548" s="4"/>
    </row>
    <row r="549">
      <c r="U549" s="4"/>
    </row>
    <row r="550">
      <c r="U550" s="4"/>
    </row>
    <row r="551">
      <c r="U551" s="4"/>
    </row>
    <row r="552">
      <c r="U552" s="4"/>
    </row>
    <row r="553">
      <c r="U553" s="4"/>
    </row>
    <row r="554">
      <c r="U554" s="4"/>
    </row>
    <row r="555">
      <c r="U555" s="4"/>
    </row>
    <row r="556">
      <c r="U556" s="4"/>
    </row>
    <row r="557">
      <c r="U557" s="4"/>
    </row>
    <row r="558">
      <c r="U558" s="4"/>
    </row>
    <row r="559">
      <c r="U559" s="4"/>
    </row>
    <row r="560">
      <c r="U560" s="4"/>
    </row>
    <row r="561">
      <c r="U561" s="4"/>
    </row>
    <row r="562">
      <c r="U562" s="4"/>
    </row>
    <row r="563">
      <c r="U563" s="4"/>
    </row>
    <row r="564">
      <c r="U564" s="4"/>
    </row>
    <row r="565">
      <c r="U565" s="4"/>
    </row>
    <row r="566">
      <c r="U566" s="4"/>
    </row>
    <row r="567">
      <c r="U567" s="4"/>
    </row>
    <row r="568">
      <c r="U568" s="4"/>
    </row>
    <row r="569">
      <c r="U569" s="4"/>
    </row>
    <row r="570">
      <c r="U570" s="4"/>
    </row>
    <row r="571">
      <c r="U571" s="4"/>
    </row>
    <row r="572">
      <c r="U572" s="4"/>
    </row>
    <row r="573">
      <c r="U573" s="4"/>
    </row>
    <row r="574">
      <c r="U574" s="4"/>
    </row>
    <row r="575">
      <c r="U575" s="4"/>
    </row>
    <row r="576">
      <c r="U576" s="4"/>
    </row>
    <row r="577">
      <c r="U577" s="4"/>
    </row>
    <row r="578">
      <c r="U578" s="4"/>
    </row>
    <row r="579">
      <c r="U579" s="4"/>
    </row>
    <row r="580">
      <c r="U580" s="4"/>
    </row>
    <row r="581">
      <c r="U581" s="4"/>
    </row>
    <row r="582">
      <c r="U582" s="4"/>
    </row>
    <row r="583">
      <c r="U583" s="4"/>
    </row>
    <row r="584">
      <c r="U584" s="4"/>
    </row>
    <row r="585">
      <c r="U585" s="4"/>
    </row>
    <row r="586">
      <c r="U586" s="4"/>
    </row>
    <row r="587">
      <c r="U587" s="4"/>
    </row>
    <row r="588">
      <c r="U588" s="4"/>
    </row>
    <row r="589">
      <c r="U589" s="4"/>
    </row>
    <row r="590">
      <c r="U590" s="4"/>
    </row>
    <row r="591">
      <c r="U591" s="4"/>
    </row>
    <row r="592">
      <c r="U592" s="4"/>
    </row>
    <row r="593">
      <c r="U593" s="4"/>
    </row>
    <row r="594">
      <c r="U594" s="4"/>
    </row>
    <row r="595">
      <c r="U595" s="4"/>
    </row>
    <row r="596">
      <c r="U596" s="4"/>
    </row>
    <row r="597">
      <c r="U597" s="4"/>
    </row>
    <row r="598">
      <c r="U598" s="4"/>
    </row>
    <row r="599">
      <c r="U599" s="4"/>
    </row>
    <row r="600">
      <c r="U600" s="4"/>
    </row>
    <row r="601">
      <c r="U601" s="4"/>
    </row>
    <row r="602">
      <c r="U602" s="4"/>
    </row>
    <row r="603">
      <c r="U603" s="4"/>
    </row>
    <row r="604">
      <c r="U604" s="4"/>
    </row>
    <row r="605">
      <c r="U605" s="4"/>
    </row>
    <row r="606">
      <c r="U606" s="4"/>
    </row>
    <row r="607">
      <c r="U607" s="4"/>
    </row>
    <row r="608">
      <c r="U608" s="4"/>
    </row>
    <row r="609">
      <c r="U609" s="4"/>
    </row>
    <row r="610">
      <c r="U610" s="4"/>
    </row>
    <row r="611">
      <c r="U611" s="4"/>
    </row>
    <row r="612">
      <c r="U612" s="4"/>
    </row>
    <row r="613">
      <c r="U613" s="4"/>
    </row>
    <row r="614">
      <c r="U614" s="4"/>
    </row>
    <row r="615">
      <c r="U615" s="4"/>
    </row>
    <row r="616">
      <c r="U616" s="4"/>
    </row>
    <row r="617">
      <c r="U617" s="4"/>
    </row>
    <row r="618">
      <c r="U618" s="4"/>
    </row>
    <row r="619">
      <c r="U619" s="4"/>
    </row>
    <row r="620">
      <c r="U620" s="4"/>
    </row>
    <row r="621">
      <c r="U621" s="4"/>
    </row>
    <row r="622">
      <c r="U622" s="4"/>
    </row>
    <row r="623">
      <c r="U623" s="4"/>
    </row>
    <row r="624">
      <c r="U624" s="4"/>
    </row>
    <row r="625">
      <c r="U625" s="4"/>
    </row>
    <row r="626">
      <c r="U626" s="4"/>
    </row>
    <row r="627">
      <c r="U627" s="4"/>
    </row>
    <row r="628">
      <c r="U628" s="4"/>
    </row>
    <row r="629">
      <c r="U629" s="4"/>
    </row>
    <row r="630">
      <c r="U630" s="4"/>
    </row>
    <row r="631">
      <c r="U631" s="4"/>
    </row>
    <row r="632">
      <c r="U632" s="4"/>
    </row>
    <row r="633">
      <c r="U633" s="4"/>
    </row>
    <row r="634">
      <c r="U634" s="4"/>
    </row>
    <row r="635">
      <c r="U635" s="4"/>
    </row>
    <row r="636">
      <c r="U636" s="4"/>
    </row>
    <row r="637">
      <c r="U637" s="4"/>
    </row>
    <row r="638">
      <c r="U638" s="4"/>
    </row>
    <row r="639">
      <c r="U639" s="4"/>
    </row>
    <row r="640">
      <c r="U640" s="4"/>
    </row>
    <row r="641">
      <c r="U641" s="4"/>
    </row>
    <row r="642">
      <c r="U642" s="4"/>
    </row>
    <row r="643">
      <c r="U643" s="4"/>
    </row>
    <row r="644">
      <c r="U644" s="4"/>
    </row>
    <row r="645">
      <c r="U645" s="4"/>
    </row>
    <row r="646">
      <c r="U646" s="4"/>
    </row>
    <row r="647">
      <c r="U647" s="4"/>
    </row>
    <row r="648">
      <c r="U648" s="4"/>
    </row>
    <row r="649">
      <c r="U649" s="4"/>
    </row>
    <row r="650">
      <c r="U650" s="4"/>
    </row>
    <row r="651">
      <c r="U651" s="4"/>
    </row>
    <row r="652">
      <c r="U652" s="4"/>
    </row>
    <row r="653">
      <c r="U653" s="4"/>
    </row>
    <row r="654">
      <c r="U654" s="4"/>
    </row>
    <row r="655">
      <c r="U655" s="4"/>
    </row>
    <row r="656">
      <c r="U656" s="4"/>
    </row>
    <row r="657">
      <c r="U657" s="4"/>
    </row>
    <row r="658">
      <c r="U658" s="4"/>
    </row>
    <row r="659">
      <c r="U659" s="4"/>
    </row>
    <row r="660">
      <c r="U660" s="4"/>
    </row>
    <row r="661">
      <c r="U661" s="4"/>
    </row>
    <row r="662">
      <c r="U662" s="4"/>
    </row>
    <row r="663">
      <c r="U663" s="4"/>
    </row>
    <row r="664">
      <c r="U664" s="4"/>
    </row>
    <row r="665">
      <c r="U665" s="4"/>
    </row>
    <row r="666">
      <c r="U666" s="4"/>
    </row>
    <row r="667">
      <c r="U667" s="4"/>
    </row>
    <row r="668">
      <c r="U668" s="4"/>
    </row>
    <row r="669">
      <c r="U669" s="4"/>
    </row>
    <row r="670">
      <c r="U670" s="4"/>
    </row>
    <row r="671">
      <c r="U671" s="4"/>
    </row>
    <row r="672">
      <c r="U672" s="4"/>
    </row>
    <row r="673">
      <c r="U673" s="4"/>
    </row>
    <row r="674">
      <c r="U674" s="4"/>
    </row>
    <row r="675">
      <c r="U675" s="4"/>
    </row>
    <row r="676">
      <c r="U676" s="4"/>
    </row>
    <row r="677">
      <c r="U677" s="4"/>
    </row>
    <row r="678">
      <c r="U678" s="4"/>
    </row>
    <row r="679">
      <c r="U679" s="4"/>
    </row>
    <row r="680">
      <c r="U680" s="4"/>
    </row>
    <row r="681">
      <c r="U681" s="4"/>
    </row>
    <row r="682">
      <c r="U682" s="4"/>
    </row>
    <row r="683">
      <c r="U683" s="4"/>
    </row>
    <row r="684">
      <c r="U684" s="4"/>
    </row>
    <row r="685">
      <c r="U685" s="4"/>
    </row>
    <row r="686">
      <c r="U686" s="4"/>
    </row>
    <row r="687">
      <c r="U687" s="4"/>
    </row>
    <row r="688">
      <c r="U688" s="4"/>
    </row>
    <row r="689">
      <c r="U689" s="4"/>
    </row>
    <row r="690">
      <c r="U690" s="4"/>
    </row>
    <row r="691">
      <c r="U691" s="4"/>
    </row>
    <row r="692">
      <c r="U692" s="4"/>
    </row>
    <row r="693">
      <c r="U693" s="4"/>
    </row>
    <row r="694">
      <c r="U694" s="4"/>
    </row>
    <row r="695">
      <c r="U695" s="4"/>
    </row>
    <row r="696">
      <c r="U696" s="4"/>
    </row>
    <row r="697">
      <c r="U697" s="4"/>
    </row>
    <row r="698">
      <c r="U698" s="4"/>
    </row>
    <row r="699">
      <c r="U699" s="4"/>
    </row>
    <row r="700">
      <c r="U700" s="4"/>
    </row>
    <row r="701">
      <c r="U701" s="4"/>
    </row>
    <row r="702">
      <c r="U702" s="4"/>
    </row>
    <row r="703">
      <c r="U703" s="4"/>
    </row>
    <row r="704">
      <c r="U704" s="4"/>
    </row>
    <row r="705">
      <c r="U705" s="4"/>
    </row>
    <row r="706">
      <c r="U706" s="4"/>
    </row>
    <row r="707">
      <c r="U707" s="4"/>
    </row>
    <row r="708">
      <c r="U708" s="4"/>
    </row>
    <row r="709">
      <c r="U709" s="4"/>
    </row>
    <row r="710">
      <c r="U710" s="4"/>
    </row>
    <row r="711">
      <c r="U711" s="4"/>
    </row>
    <row r="712">
      <c r="U712" s="4"/>
    </row>
    <row r="713">
      <c r="U713" s="4"/>
    </row>
    <row r="714">
      <c r="U714" s="4"/>
    </row>
    <row r="715">
      <c r="U715" s="4"/>
    </row>
    <row r="716">
      <c r="U716" s="4"/>
    </row>
    <row r="717">
      <c r="U717" s="4"/>
    </row>
    <row r="718">
      <c r="U718" s="4"/>
    </row>
    <row r="719">
      <c r="U719" s="4"/>
    </row>
    <row r="720">
      <c r="U720" s="4"/>
    </row>
    <row r="721">
      <c r="U721" s="4"/>
    </row>
    <row r="722">
      <c r="U722" s="4"/>
    </row>
    <row r="723">
      <c r="U723" s="4"/>
    </row>
    <row r="724">
      <c r="U724" s="4"/>
    </row>
    <row r="725">
      <c r="U725" s="4"/>
    </row>
    <row r="726">
      <c r="U726" s="4"/>
    </row>
    <row r="727">
      <c r="U727" s="4"/>
    </row>
    <row r="728">
      <c r="U728" s="4"/>
    </row>
    <row r="729">
      <c r="U729" s="4"/>
    </row>
    <row r="730">
      <c r="U730" s="4"/>
    </row>
    <row r="731">
      <c r="U731" s="4"/>
    </row>
    <row r="732">
      <c r="U732" s="4"/>
    </row>
    <row r="733">
      <c r="U733" s="4"/>
    </row>
    <row r="734">
      <c r="U734" s="4"/>
    </row>
    <row r="735">
      <c r="U735" s="4"/>
    </row>
    <row r="736">
      <c r="U736" s="4"/>
    </row>
    <row r="737">
      <c r="U737" s="4"/>
    </row>
    <row r="738">
      <c r="U738" s="4"/>
    </row>
    <row r="739">
      <c r="U739" s="4"/>
    </row>
    <row r="740">
      <c r="U740" s="4"/>
    </row>
    <row r="741">
      <c r="U741" s="4"/>
    </row>
    <row r="742">
      <c r="U742" s="4"/>
    </row>
    <row r="743">
      <c r="U743" s="4"/>
    </row>
    <row r="744">
      <c r="U744" s="4"/>
    </row>
    <row r="745">
      <c r="U745" s="4"/>
    </row>
    <row r="746">
      <c r="U746" s="4"/>
    </row>
    <row r="747">
      <c r="U747" s="4"/>
    </row>
    <row r="748">
      <c r="U748" s="4"/>
    </row>
    <row r="749">
      <c r="U749" s="4"/>
    </row>
    <row r="750">
      <c r="U750" s="4"/>
    </row>
    <row r="751">
      <c r="U751" s="4"/>
    </row>
    <row r="752">
      <c r="U752" s="4"/>
    </row>
    <row r="753">
      <c r="U753" s="4"/>
    </row>
    <row r="754">
      <c r="U754" s="4"/>
    </row>
    <row r="755">
      <c r="U755" s="4"/>
    </row>
    <row r="756">
      <c r="U756" s="4"/>
    </row>
    <row r="757">
      <c r="U757" s="4"/>
    </row>
    <row r="758">
      <c r="U758" s="4"/>
    </row>
    <row r="759">
      <c r="U759" s="4"/>
    </row>
    <row r="760">
      <c r="U760" s="4"/>
    </row>
    <row r="761">
      <c r="U761" s="4"/>
    </row>
    <row r="762">
      <c r="U762" s="4"/>
    </row>
    <row r="763">
      <c r="U763" s="4"/>
    </row>
    <row r="764">
      <c r="U764" s="4"/>
    </row>
    <row r="765">
      <c r="U765" s="4"/>
    </row>
    <row r="766">
      <c r="U766" s="4"/>
    </row>
    <row r="767">
      <c r="U767" s="4"/>
    </row>
    <row r="768">
      <c r="U768" s="4"/>
    </row>
    <row r="769">
      <c r="U769" s="4"/>
    </row>
    <row r="770">
      <c r="U770" s="4"/>
    </row>
    <row r="771">
      <c r="U771" s="4"/>
    </row>
    <row r="772">
      <c r="U772" s="4"/>
    </row>
    <row r="773">
      <c r="U773" s="4"/>
    </row>
    <row r="774">
      <c r="U774" s="4"/>
    </row>
    <row r="775">
      <c r="U775" s="4"/>
    </row>
    <row r="776">
      <c r="U776" s="4"/>
    </row>
    <row r="777">
      <c r="U777" s="4"/>
    </row>
    <row r="778">
      <c r="U778" s="4"/>
    </row>
    <row r="779">
      <c r="U779" s="4"/>
    </row>
    <row r="780">
      <c r="U780" s="4"/>
    </row>
    <row r="781">
      <c r="U781" s="4"/>
    </row>
    <row r="782">
      <c r="U782" s="4"/>
    </row>
    <row r="783">
      <c r="U783" s="4"/>
    </row>
    <row r="784">
      <c r="U784" s="4"/>
    </row>
    <row r="785">
      <c r="U785" s="4"/>
    </row>
    <row r="786">
      <c r="U786" s="4"/>
    </row>
    <row r="787">
      <c r="U787" s="4"/>
    </row>
    <row r="788">
      <c r="U788" s="4"/>
    </row>
    <row r="789">
      <c r="U789" s="4"/>
    </row>
    <row r="790">
      <c r="U790" s="4"/>
    </row>
    <row r="791">
      <c r="U791" s="4"/>
    </row>
    <row r="792">
      <c r="U792" s="4"/>
    </row>
    <row r="793">
      <c r="U793" s="4"/>
    </row>
    <row r="794">
      <c r="U794" s="4"/>
    </row>
    <row r="795">
      <c r="U795" s="4"/>
    </row>
    <row r="796">
      <c r="U796" s="4"/>
    </row>
    <row r="797">
      <c r="U797" s="4"/>
    </row>
    <row r="798">
      <c r="U798" s="4"/>
    </row>
    <row r="799">
      <c r="U799" s="4"/>
    </row>
    <row r="800">
      <c r="U800" s="4"/>
    </row>
    <row r="801">
      <c r="U801" s="4"/>
    </row>
    <row r="802">
      <c r="U802" s="4"/>
    </row>
    <row r="803">
      <c r="U803" s="4"/>
    </row>
    <row r="804">
      <c r="U804" s="4"/>
    </row>
    <row r="805">
      <c r="U805" s="4"/>
    </row>
    <row r="806">
      <c r="U806" s="4"/>
    </row>
    <row r="807">
      <c r="U807" s="4"/>
    </row>
    <row r="808">
      <c r="U808" s="4"/>
    </row>
    <row r="809">
      <c r="U809" s="4"/>
    </row>
    <row r="810">
      <c r="U810" s="4"/>
    </row>
    <row r="811">
      <c r="U811" s="4"/>
    </row>
    <row r="812">
      <c r="U812" s="4"/>
    </row>
    <row r="813">
      <c r="U813" s="4"/>
    </row>
    <row r="814">
      <c r="U814" s="4"/>
    </row>
    <row r="815">
      <c r="U815" s="4"/>
    </row>
    <row r="816">
      <c r="U816" s="4"/>
    </row>
    <row r="817">
      <c r="U817" s="4"/>
    </row>
    <row r="818">
      <c r="U818" s="4"/>
    </row>
    <row r="819">
      <c r="U819" s="4"/>
    </row>
    <row r="820">
      <c r="U820" s="4"/>
    </row>
    <row r="821">
      <c r="U821" s="4"/>
    </row>
    <row r="822">
      <c r="U822" s="4"/>
    </row>
    <row r="823">
      <c r="U823" s="4"/>
    </row>
    <row r="824">
      <c r="U824" s="4"/>
    </row>
    <row r="825">
      <c r="U825" s="4"/>
    </row>
    <row r="826">
      <c r="U826" s="4"/>
    </row>
    <row r="827">
      <c r="U827" s="4"/>
    </row>
    <row r="828">
      <c r="U828" s="4"/>
    </row>
    <row r="829">
      <c r="U829" s="4"/>
    </row>
    <row r="830">
      <c r="U830" s="4"/>
    </row>
    <row r="831">
      <c r="U831" s="4"/>
    </row>
    <row r="832">
      <c r="U832" s="4"/>
    </row>
    <row r="833">
      <c r="U833" s="4"/>
    </row>
    <row r="834">
      <c r="U834" s="4"/>
    </row>
    <row r="835">
      <c r="U835" s="4"/>
    </row>
    <row r="836">
      <c r="U836" s="4"/>
    </row>
    <row r="837">
      <c r="U837" s="4"/>
    </row>
    <row r="838">
      <c r="U838" s="4"/>
    </row>
    <row r="839">
      <c r="U839" s="4"/>
    </row>
    <row r="840">
      <c r="U840" s="4"/>
    </row>
    <row r="841">
      <c r="U841" s="4"/>
    </row>
    <row r="842">
      <c r="U842" s="4"/>
    </row>
    <row r="843">
      <c r="U843" s="4"/>
    </row>
    <row r="844">
      <c r="U844" s="4"/>
    </row>
    <row r="845">
      <c r="U845" s="4"/>
    </row>
    <row r="846">
      <c r="U846" s="4"/>
    </row>
    <row r="847">
      <c r="U847" s="4"/>
    </row>
    <row r="848">
      <c r="U848" s="4"/>
    </row>
    <row r="849">
      <c r="U849" s="4"/>
    </row>
    <row r="850">
      <c r="U850" s="4"/>
    </row>
    <row r="851">
      <c r="U851" s="4"/>
    </row>
    <row r="852">
      <c r="U852" s="4"/>
    </row>
    <row r="853">
      <c r="U853" s="4"/>
    </row>
    <row r="854">
      <c r="U854" s="4"/>
    </row>
    <row r="855">
      <c r="U855" s="4"/>
    </row>
    <row r="856">
      <c r="U856" s="4"/>
    </row>
    <row r="857">
      <c r="U857" s="4"/>
    </row>
    <row r="858">
      <c r="U858" s="4"/>
    </row>
    <row r="859">
      <c r="U859" s="4"/>
    </row>
    <row r="860">
      <c r="U860" s="4"/>
    </row>
    <row r="861">
      <c r="U861" s="4"/>
    </row>
    <row r="862">
      <c r="U862" s="4"/>
    </row>
    <row r="863">
      <c r="U863" s="4"/>
    </row>
    <row r="864">
      <c r="U864" s="4"/>
    </row>
    <row r="865">
      <c r="U865" s="4"/>
    </row>
    <row r="866">
      <c r="U866" s="4"/>
    </row>
    <row r="867">
      <c r="U867" s="4"/>
    </row>
    <row r="868">
      <c r="U868" s="4"/>
    </row>
    <row r="869">
      <c r="U869" s="4"/>
    </row>
    <row r="870">
      <c r="U870" s="4"/>
    </row>
    <row r="871">
      <c r="U871" s="4"/>
    </row>
    <row r="872">
      <c r="U872" s="4"/>
    </row>
    <row r="873">
      <c r="U873" s="4"/>
    </row>
    <row r="874">
      <c r="U874" s="4"/>
    </row>
    <row r="875">
      <c r="U875" s="4"/>
    </row>
    <row r="876">
      <c r="U876" s="4"/>
    </row>
    <row r="877">
      <c r="U877" s="4"/>
    </row>
    <row r="878">
      <c r="U878" s="4"/>
    </row>
    <row r="879">
      <c r="U879" s="4"/>
    </row>
    <row r="880">
      <c r="U880" s="4"/>
    </row>
    <row r="881">
      <c r="U881" s="4"/>
    </row>
    <row r="882">
      <c r="U882" s="4"/>
    </row>
    <row r="883">
      <c r="U883" s="4"/>
    </row>
    <row r="884">
      <c r="U884" s="4"/>
    </row>
    <row r="885">
      <c r="U885" s="4"/>
    </row>
    <row r="886">
      <c r="U886" s="4"/>
    </row>
    <row r="887">
      <c r="U887" s="4"/>
    </row>
    <row r="888">
      <c r="U888" s="4"/>
    </row>
    <row r="889">
      <c r="U889" s="4"/>
    </row>
    <row r="890">
      <c r="U890" s="4"/>
    </row>
    <row r="891">
      <c r="U891" s="4"/>
    </row>
    <row r="892">
      <c r="U892" s="4"/>
    </row>
    <row r="893">
      <c r="U893" s="4"/>
    </row>
    <row r="894">
      <c r="U894" s="4"/>
    </row>
    <row r="895">
      <c r="U895" s="4"/>
    </row>
    <row r="896">
      <c r="U896" s="4"/>
    </row>
    <row r="897">
      <c r="U897" s="4"/>
    </row>
    <row r="898">
      <c r="U898" s="4"/>
    </row>
    <row r="899">
      <c r="U899" s="4"/>
    </row>
    <row r="900">
      <c r="U900" s="4"/>
    </row>
    <row r="901">
      <c r="U901" s="4"/>
    </row>
    <row r="902">
      <c r="U902" s="4"/>
    </row>
    <row r="903">
      <c r="U903" s="4"/>
    </row>
    <row r="904">
      <c r="U904" s="4"/>
    </row>
    <row r="905">
      <c r="U905" s="4"/>
    </row>
    <row r="906">
      <c r="U906" s="4"/>
    </row>
    <row r="907">
      <c r="U907" s="4"/>
    </row>
    <row r="908">
      <c r="U908" s="4"/>
    </row>
    <row r="909">
      <c r="U909" s="4"/>
    </row>
    <row r="910">
      <c r="U910" s="4"/>
    </row>
    <row r="911">
      <c r="U911" s="4"/>
    </row>
    <row r="912">
      <c r="U912" s="4"/>
    </row>
    <row r="913">
      <c r="U913" s="4"/>
    </row>
    <row r="914">
      <c r="U914" s="4"/>
    </row>
    <row r="915">
      <c r="U915" s="4"/>
    </row>
    <row r="916">
      <c r="U916" s="4"/>
    </row>
    <row r="917">
      <c r="U917" s="4"/>
    </row>
    <row r="918">
      <c r="U918" s="4"/>
    </row>
    <row r="919">
      <c r="U919" s="4"/>
    </row>
    <row r="920">
      <c r="U920" s="4"/>
    </row>
    <row r="921">
      <c r="U921" s="4"/>
    </row>
    <row r="922">
      <c r="U922" s="4"/>
    </row>
    <row r="923">
      <c r="U923" s="4"/>
    </row>
    <row r="924">
      <c r="U924" s="4"/>
    </row>
    <row r="925">
      <c r="U925" s="4"/>
    </row>
    <row r="926">
      <c r="U926" s="4"/>
    </row>
    <row r="927">
      <c r="U927" s="4"/>
    </row>
    <row r="928">
      <c r="U928" s="4"/>
    </row>
    <row r="929">
      <c r="U929" s="4"/>
    </row>
    <row r="930">
      <c r="U930" s="4"/>
    </row>
    <row r="931">
      <c r="U931" s="4"/>
    </row>
    <row r="932">
      <c r="U932" s="4"/>
    </row>
    <row r="933">
      <c r="U933" s="4"/>
    </row>
    <row r="934">
      <c r="U934" s="4"/>
    </row>
    <row r="935">
      <c r="U935" s="4"/>
    </row>
    <row r="936">
      <c r="U936" s="4"/>
    </row>
    <row r="937">
      <c r="U937" s="4"/>
    </row>
    <row r="938">
      <c r="U938" s="4"/>
    </row>
    <row r="939">
      <c r="U939" s="4"/>
    </row>
    <row r="940">
      <c r="U940" s="4"/>
    </row>
    <row r="941">
      <c r="U941" s="4"/>
    </row>
    <row r="942">
      <c r="U942" s="4"/>
    </row>
    <row r="943">
      <c r="U943" s="4"/>
    </row>
    <row r="944">
      <c r="U944" s="4"/>
    </row>
    <row r="945">
      <c r="U945" s="4"/>
    </row>
    <row r="946">
      <c r="U946" s="4"/>
    </row>
    <row r="947">
      <c r="U947" s="4"/>
    </row>
    <row r="948">
      <c r="U948" s="4"/>
    </row>
    <row r="949">
      <c r="U949" s="4"/>
    </row>
    <row r="950">
      <c r="U950" s="4"/>
    </row>
    <row r="951">
      <c r="U951" s="4"/>
    </row>
    <row r="952">
      <c r="U952" s="4"/>
    </row>
    <row r="953">
      <c r="U953" s="4"/>
    </row>
    <row r="954">
      <c r="U954" s="4"/>
    </row>
    <row r="955">
      <c r="U955" s="4"/>
    </row>
    <row r="956">
      <c r="U956" s="4"/>
    </row>
    <row r="957">
      <c r="U957" s="4"/>
    </row>
    <row r="958">
      <c r="U958" s="4"/>
    </row>
    <row r="959">
      <c r="U959" s="4"/>
    </row>
    <row r="960">
      <c r="U960" s="4"/>
    </row>
    <row r="961">
      <c r="U961" s="4"/>
    </row>
    <row r="962">
      <c r="U962" s="4"/>
    </row>
    <row r="963">
      <c r="U963" s="4"/>
    </row>
    <row r="964">
      <c r="U964" s="4"/>
    </row>
    <row r="965">
      <c r="U965" s="4"/>
    </row>
    <row r="966">
      <c r="U966" s="4"/>
    </row>
    <row r="967">
      <c r="U967" s="4"/>
    </row>
    <row r="968">
      <c r="U968" s="4"/>
    </row>
    <row r="969">
      <c r="U969" s="4"/>
    </row>
    <row r="970">
      <c r="U970" s="4"/>
    </row>
    <row r="971">
      <c r="U971" s="4"/>
    </row>
    <row r="972">
      <c r="U972" s="4"/>
    </row>
    <row r="973">
      <c r="U973" s="4"/>
    </row>
    <row r="974">
      <c r="U974" s="4"/>
    </row>
    <row r="975">
      <c r="U975" s="4"/>
    </row>
    <row r="976">
      <c r="U976" s="4"/>
    </row>
    <row r="977">
      <c r="U977" s="4"/>
    </row>
    <row r="978">
      <c r="U978" s="4"/>
    </row>
    <row r="979">
      <c r="U979" s="4"/>
    </row>
    <row r="980">
      <c r="U980" s="4"/>
    </row>
    <row r="981">
      <c r="U981" s="4"/>
    </row>
    <row r="982">
      <c r="U982" s="4"/>
    </row>
    <row r="983">
      <c r="U983" s="4"/>
    </row>
    <row r="984">
      <c r="U984" s="4"/>
    </row>
    <row r="985">
      <c r="U985" s="4"/>
    </row>
    <row r="986">
      <c r="U986" s="4"/>
    </row>
    <row r="987">
      <c r="U987" s="4"/>
    </row>
    <row r="988">
      <c r="U988" s="4"/>
    </row>
    <row r="989">
      <c r="U989" s="4"/>
    </row>
    <row r="990">
      <c r="U990" s="4"/>
    </row>
    <row r="991">
      <c r="U991" s="4"/>
    </row>
    <row r="992">
      <c r="U992" s="4"/>
    </row>
    <row r="993">
      <c r="U993" s="4"/>
    </row>
    <row r="994">
      <c r="U994" s="4"/>
    </row>
    <row r="995">
      <c r="U995" s="4"/>
    </row>
    <row r="996">
      <c r="U996" s="4"/>
    </row>
    <row r="997">
      <c r="U997" s="4"/>
    </row>
    <row r="998">
      <c r="U998" s="4"/>
    </row>
    <row r="999">
      <c r="U999" s="4"/>
    </row>
    <row r="1000">
      <c r="U1000" s="4"/>
    </row>
    <row r="1001">
      <c r="U1001" s="4"/>
    </row>
    <row r="1002">
      <c r="U1002" s="4"/>
    </row>
    <row r="1003">
      <c r="U1003" s="4"/>
    </row>
    <row r="1004">
      <c r="U1004" s="4"/>
    </row>
    <row r="1005">
      <c r="U1005" s="4"/>
    </row>
    <row r="1006">
      <c r="U1006" s="4"/>
    </row>
    <row r="1007">
      <c r="U1007" s="4"/>
    </row>
    <row r="1008">
      <c r="U1008" s="4"/>
    </row>
  </sheetData>
  <mergeCells count="4">
    <mergeCell ref="C1:K1"/>
    <mergeCell ref="L1:N1"/>
    <mergeCell ref="O1:Q1"/>
    <mergeCell ref="R1:T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5" t="s">
        <v>1</v>
      </c>
      <c r="B1" s="215" t="s">
        <v>2</v>
      </c>
      <c r="C1" s="215" t="s">
        <v>3</v>
      </c>
      <c r="D1" s="216" t="s">
        <v>4</v>
      </c>
      <c r="E1" s="215" t="s">
        <v>5</v>
      </c>
    </row>
    <row r="2">
      <c r="A2" s="217" t="s">
        <v>216</v>
      </c>
      <c r="B2" s="218" t="s">
        <v>244</v>
      </c>
      <c r="C2" s="219" t="s">
        <v>33</v>
      </c>
      <c r="D2" s="220">
        <f>120*1.03</f>
        <v>123.6</v>
      </c>
      <c r="E2" s="221" t="str">
        <f t="shared" ref="E2:E4" si="1">D2*C2</f>
        <v>#VALUE!</v>
      </c>
    </row>
    <row r="3">
      <c r="A3" s="222" t="s">
        <v>217</v>
      </c>
      <c r="B3" s="223" t="s">
        <v>244</v>
      </c>
      <c r="C3" s="224" t="s">
        <v>33</v>
      </c>
      <c r="D3" s="220">
        <f>275*1.03</f>
        <v>283.25</v>
      </c>
      <c r="E3" s="221" t="str">
        <f t="shared" si="1"/>
        <v>#VALUE!</v>
      </c>
    </row>
    <row r="4">
      <c r="A4" s="217" t="s">
        <v>245</v>
      </c>
      <c r="B4" s="218" t="s">
        <v>246</v>
      </c>
      <c r="C4" s="219" t="s">
        <v>33</v>
      </c>
      <c r="D4" s="220">
        <f>650*1.03</f>
        <v>669.5</v>
      </c>
      <c r="E4" s="221" t="str">
        <f t="shared" si="1"/>
        <v>#VALUE!</v>
      </c>
    </row>
    <row r="6">
      <c r="A6" s="225" t="s">
        <v>229</v>
      </c>
      <c r="B6" s="226" t="s">
        <v>247</v>
      </c>
      <c r="C6" s="219" t="s">
        <v>33</v>
      </c>
      <c r="D6" s="220">
        <f>65*1.03</f>
        <v>66.95</v>
      </c>
      <c r="E6" s="221" t="str">
        <f>D6*C6</f>
        <v>#VALUE!</v>
      </c>
      <c r="F6" s="227" t="s">
        <v>248</v>
      </c>
    </row>
  </sheetData>
  <drawing r:id="rId1"/>
</worksheet>
</file>