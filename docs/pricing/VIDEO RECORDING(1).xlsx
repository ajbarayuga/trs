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<sst xmlns="http://schemas.openxmlformats.org/spreadsheetml/2006/main" count="22" uniqueCount="22">
  <si>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Version: 12.23.25</t>
  </si>
  <si>
    <t>Item name</t>
  </si>
  <si>
    <t>Item Description</t>
  </si>
  <si>
    <t>Units</t>
  </si>
  <si>
    <t>Price / Unit</t>
  </si>
  <si>
    <t>Subtotal</t>
  </si>
  <si>
    <t>Labor</t>
  </si>
  <si>
    <t>-- Production Lead (Hourly)</t>
  </si>
  <si>
    <t xml:space="preserve">Production Leads are cross-trained AV professionals with experience leading projects. For solo projects, we recommend hiring a production lead because they have the experience and self-management skills to offer you turn-key service. </t>
  </si>
  <si>
    <t>Equipment</t>
  </si>
  <si>
    <t>RECORDING</t>
  </si>
  <si>
    <t>Camcorder Kit</t>
  </si>
  <si>
    <t>Includes camcorder, extra tall tripod (8'), XLR audio cable, HDMI cable, extension cord, power strip, and SD cards</t>
  </si>
  <si>
    <t>MISC / MIXED USE</t>
  </si>
  <si>
    <t>AV Essential Kit (Half Day)</t>
  </si>
  <si>
    <r>
      <rPr>
        <rFont val="Arial"/>
        <color theme="1"/>
      </rPr>
      <t xml:space="preserve">Includes a Laptop, power-point clicker, HDMI cable, video scaler &amp; voltage regulator, aux cord, USB adapters, thumbdrive, batteries, Humbuster noise reducer for audio signals, and audio cable adapters. </t>
    </r>
    <r>
      <rPr>
        <rFont val="Arial"/>
        <color theme="1"/>
      </rPr>
      <t>Required for all onsite productions. Half Day Rate applies to events 4 hours or less</t>
    </r>
  </si>
  <si>
    <t>Post-Production</t>
  </si>
  <si>
    <t>Lecture w/ PPT, up to 1 hr</t>
  </si>
  <si>
    <t>Standard edit package. Details in Technical Scope. Includes Power-Point slides. Price per camera angle</t>
  </si>
  <si>
    <t>Discounts</t>
  </si>
  <si>
    <t>DISCOUNT</t>
  </si>
  <si>
    <t>Discount - Production Lead (10% off hourly rate) for projects exceeding $10,000 or clients who exceed $10,000 of business annually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</si>
</sst>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b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vertical="bottom"/>
    </xf>
    <xf borderId="2" fillId="2" fontId="1" numFmtId="0" xfId="0" applyAlignment="1" applyBorder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shrinkToFit="0" vertical="center" wrapText="1"/>
    </xf>
    <xf borderId="0" fillId="2" fontId="2" numFmtId="1" xfId="0" applyAlignment="1" applyFont="1" applyNumberFormat="1">
      <alignment horizontal="center" readingOrder="0" shrinkToFit="0" vertical="center" wrapText="1"/>
    </xf>
    <xf borderId="0" fillId="2" fontId="2" numFmtId="164" xfId="0" applyAlignment="1" applyFont="1" applyNumberFormat="1">
      <alignment horizontal="center" vertical="center"/>
    </xf>
    <xf borderId="6" fillId="2" fontId="2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2" fillId="2" fontId="1" numFmtId="0" xfId="0" applyAlignment="1" applyBorder="1" applyFont="1">
      <alignment horizontal="center" readingOrder="0" shrinkToFit="0" wrapText="1"/>
    </xf>
    <xf borderId="2" fillId="2" fontId="4" numFmtId="0" xfId="0" applyAlignment="1" applyBorder="1" applyFont="1">
      <alignment horizontal="center" shrinkToFit="0" wrapText="1"/>
    </xf>
    <xf borderId="0" fillId="2" fontId="2" numFmtId="0" xfId="0" applyAlignment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shrinkToFit="0" vertical="center" wrapText="1"/>
    </xf>
    <xf borderId="8" fillId="2" fontId="2" numFmtId="1" xfId="0" applyAlignment="1" applyBorder="1" applyFont="1" applyNumberFormat="1">
      <alignment horizontal="center" shrinkToFit="0" vertical="center" wrapText="1"/>
    </xf>
    <xf borderId="8" fillId="2" fontId="2" numFmtId="164" xfId="0" applyAlignment="1" applyBorder="1" applyFont="1" applyNumberFormat="1">
      <alignment horizontal="center" vertical="center"/>
    </xf>
    <xf borderId="9" fillId="2" fontId="2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2.13"/>
  </cols>
  <sheetData>
    <row r="1">
      <c r="A1" s="1" t="s">
        <v>0</v>
      </c>
      <c r="B1" s="2"/>
      <c r="C1" s="2"/>
      <c r="D1" s="3"/>
      <c r="E1" s="2"/>
      <c r="F1" s="4"/>
      <c r="G1" s="4"/>
      <c r="H1" s="4"/>
    </row>
    <row r="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7">
        <f>SUM(E4:E921)</f>
        <v>1121.2301</v>
      </c>
      <c r="G2" s="4"/>
      <c r="H2" s="4"/>
    </row>
    <row r="3">
      <c r="A3" s="8" t="s">
        <v>6</v>
      </c>
      <c r="B3" s="9"/>
      <c r="C3" s="9"/>
      <c r="D3" s="9"/>
      <c r="E3" s="10"/>
      <c r="F3" s="4"/>
      <c r="G3" s="4"/>
      <c r="H3" s="4"/>
    </row>
    <row r="4">
      <c r="A4" s="11" t="s">
        <v>7</v>
      </c>
      <c r="B4" s="12" t="s">
        <v>8</v>
      </c>
      <c r="C4" s="13">
        <v>3.0</v>
      </c>
      <c r="D4" s="14">
        <f>117.99*1.03</f>
        <v>121.5297</v>
      </c>
      <c r="E4" s="15">
        <f>D4*C4</f>
        <v>364.5891</v>
      </c>
      <c r="F4" s="4"/>
      <c r="G4" s="16">
        <f>D4*0.9</f>
        <v>109.37673</v>
      </c>
      <c r="H4" s="17">
        <f>117.99*2</f>
        <v>235.98</v>
      </c>
    </row>
    <row r="5">
      <c r="A5" s="8" t="s">
        <v>9</v>
      </c>
      <c r="B5" s="9"/>
      <c r="C5" s="9"/>
      <c r="D5" s="9"/>
      <c r="E5" s="10"/>
      <c r="F5" s="4"/>
      <c r="G5" s="4"/>
      <c r="H5" s="4"/>
    </row>
    <row r="6">
      <c r="A6" s="18" t="s">
        <v>10</v>
      </c>
      <c r="B6" s="9"/>
      <c r="C6" s="9"/>
      <c r="D6" s="9"/>
      <c r="E6" s="10"/>
      <c r="F6" s="4"/>
      <c r="G6" s="4"/>
      <c r="H6" s="4"/>
    </row>
    <row r="7">
      <c r="A7" s="11" t="s">
        <v>11</v>
      </c>
      <c r="B7" s="12" t="s">
        <v>12</v>
      </c>
      <c r="C7" s="13">
        <v>1.0</v>
      </c>
      <c r="D7" s="14">
        <f>395*1.03</f>
        <v>406.85</v>
      </c>
      <c r="E7" s="15">
        <f>D7*C7</f>
        <v>406.85</v>
      </c>
      <c r="F7" s="4"/>
      <c r="G7" s="4"/>
      <c r="H7" s="4"/>
    </row>
    <row r="8">
      <c r="A8" s="19" t="s">
        <v>13</v>
      </c>
      <c r="B8" s="9"/>
      <c r="C8" s="9"/>
      <c r="D8" s="9"/>
      <c r="E8" s="10"/>
      <c r="F8" s="4"/>
      <c r="G8" s="4"/>
      <c r="H8" s="4"/>
    </row>
    <row r="9">
      <c r="A9" s="11" t="s">
        <v>14</v>
      </c>
      <c r="B9" s="12" t="s">
        <v>15</v>
      </c>
      <c r="C9" s="13">
        <v>1.0</v>
      </c>
      <c r="D9" s="14">
        <f>60*1.03</f>
        <v>61.8</v>
      </c>
      <c r="E9" s="15">
        <f>D9*C9</f>
        <v>61.8</v>
      </c>
      <c r="F9" s="4"/>
      <c r="G9" s="4"/>
      <c r="H9" s="4"/>
    </row>
    <row r="10">
      <c r="A10" s="8" t="s">
        <v>16</v>
      </c>
      <c r="B10" s="9"/>
      <c r="C10" s="9"/>
      <c r="D10" s="9"/>
      <c r="E10" s="10"/>
      <c r="F10" s="4"/>
      <c r="G10" s="4"/>
      <c r="H10" s="4"/>
    </row>
    <row r="11">
      <c r="A11" s="11" t="s">
        <v>17</v>
      </c>
      <c r="B11" s="12" t="s">
        <v>18</v>
      </c>
      <c r="C11" s="20">
        <v>1.0</v>
      </c>
      <c r="D11" s="14">
        <f>315*1.03</f>
        <v>324.45</v>
      </c>
      <c r="E11" s="15">
        <f>D11*C11</f>
        <v>324.45</v>
      </c>
      <c r="F11" s="4"/>
      <c r="G11" s="4"/>
      <c r="H11" s="4"/>
    </row>
    <row r="12">
      <c r="A12" s="8" t="s">
        <v>19</v>
      </c>
      <c r="B12" s="9"/>
      <c r="C12" s="9"/>
      <c r="D12" s="9"/>
      <c r="E12" s="10"/>
      <c r="F12" s="4"/>
      <c r="G12" s="4"/>
      <c r="H12" s="4"/>
    </row>
    <row r="13">
      <c r="A13" s="21" t="s">
        <v>20</v>
      </c>
      <c r="B13" s="22" t="s">
        <v>21</v>
      </c>
      <c r="C13" s="23">
        <f>C4</f>
        <v>3</v>
      </c>
      <c r="D13" s="24">
        <f>-0.1*121.53</f>
        <v>-12.153</v>
      </c>
      <c r="E13" s="25">
        <f>D13*C13</f>
        <v>-36.459</v>
      </c>
      <c r="F13" s="4"/>
      <c r="G13" s="4"/>
      <c r="H13" s="4"/>
    </row>
  </sheetData>
  <mergeCells count="6">
    <mergeCell ref="A3:E3"/>
    <mergeCell ref="A5:E5"/>
    <mergeCell ref="A6:E6"/>
    <mergeCell ref="A8:E8"/>
    <mergeCell ref="A10:E10"/>
    <mergeCell ref="A12:E12"/>
  </mergeCells>
  <drawing r:id="rId1"/>
</worksheet>
</file>